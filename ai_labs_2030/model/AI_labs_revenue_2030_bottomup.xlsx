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OpenAI" sheetId="3" state="visible" r:id="rId5"/>
    <sheet name="Anthropic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<sst xmlns="http://schemas.openxmlformats.org/spreadsheetml/2006/main" count="678" uniqueCount="432">
  <si>
    <t xml:space="preserve">OpenAI &amp; Anthropic - 2030 revenue framework (bottom-up vs compute vs momentum)</t>
  </si>
  <si>
    <t xml:space="preserve">All cells are links to the company sheets (green). Edit assumptions on Inputs (Custom column).</t>
  </si>
  <si>
    <t xml:space="preserve">Metric ($B)</t>
  </si>
  <si>
    <t xml:space="preserve">Bear</t>
  </si>
  <si>
    <t xml:space="preserve">Base</t>
  </si>
  <si>
    <t xml:space="preserve">Bull</t>
  </si>
  <si>
    <t xml:space="preserve">Custom</t>
  </si>
  <si>
    <t xml:space="preserve">OpenAI - bottom-up revenue 2030</t>
  </si>
  <si>
    <t xml:space="preserve">OpenAI - supply-side capacity 2030</t>
  </si>
  <si>
    <t xml:space="preserve">OpenAI - momentum exit-2030 run-rate</t>
  </si>
  <si>
    <t xml:space="preserve">OpenAI - $/GW needed for bottom-up</t>
  </si>
  <si>
    <t xml:space="preserve">Anthropic - bottom-up revenue 2030</t>
  </si>
  <si>
    <t xml:space="preserve">Anthropic - supply-side capacity 2030</t>
  </si>
  <si>
    <t xml:space="preserve">Anthropic - momentum exit-2030 run-rate</t>
  </si>
  <si>
    <t xml:space="preserve">Anthropic - $/GW needed for bottom-up</t>
  </si>
  <si>
    <t xml:space="preserve">Combined bottom-up revenue 2030</t>
  </si>
  <si>
    <t xml:space="preserve">Reference points (2026)</t>
  </si>
  <si>
    <t xml:space="preserve">OpenAI run-rate Aug-2026</t>
  </si>
  <si>
    <t xml:space="preserve">press reports; enterprise &gt;50% of mix</t>
  </si>
  <si>
    <t xml:space="preserve">Anthropic run-rate end-Jul-2026</t>
  </si>
  <si>
    <t xml:space="preserve">Bloomberg/Axios 17-Aug-2026</t>
  </si>
  <si>
    <t xml:space="preserve">OpenAI company plan 2030</t>
  </si>
  <si>
    <t xml:space="preserve">&gt;$280B (Bloomberg 20-Feb-2026); later reports up to ~$350B</t>
  </si>
  <si>
    <t xml:space="preserve">Anthropic company plan 2028</t>
  </si>
  <si>
    <t xml:space="preserve">$190-200B (Reuters 14-Aug-2026)</t>
  </si>
  <si>
    <t xml:space="preserve">Superforecaster median, OpenAI+Anthropic combined 2030 run-rate</t>
  </si>
  <si>
    <t xml:space="preserve">Forecasting Research Institute; 34% prob. &gt;$400B</t>
  </si>
  <si>
    <t xml:space="preserve">Bain: AI revenue needed by 2030 (whole industry)</t>
  </si>
  <si>
    <t xml:space="preserve">Bain Global Technology Report 2025</t>
  </si>
  <si>
    <t xml:space="preserve">Inputs - 2030 assumptions (bear / base / bull) + Custom scenario</t>
  </si>
  <si>
    <t xml:space="preserve">Legend: blue = hardcoded input; yellow Custom column (G) is the one to edit - it defaults to Base. All formulas on the other sheets read this sheet. Anchors are 2026 observed data points (see Sources).</t>
  </si>
  <si>
    <t xml:space="preserve">Key</t>
  </si>
  <si>
    <t xml:space="preserve">Assumption (2030 unless stated)</t>
  </si>
  <si>
    <t xml:space="preserve">Unit</t>
  </si>
  <si>
    <t xml:space="preserve">Custom (edit)</t>
  </si>
  <si>
    <t xml:space="preserve">2026 anchor / rationale</t>
  </si>
  <si>
    <t xml:space="preserve">Pool</t>
  </si>
  <si>
    <t xml:space="preserve">kw_dev</t>
  </si>
  <si>
    <t xml:space="preserve">Developers / data-AI engineers (M)</t>
  </si>
  <si>
    <t xml:space="preserve">M people</t>
  </si>
  <si>
    <t xml:space="preserve">~30M professional devs 2026 (SlashData/Evans est.); AI-native builders expand the pool</t>
  </si>
  <si>
    <t xml:space="preserve">kw_pro</t>
  </si>
  <si>
    <t xml:space="preserve">Professional / high-intensity knowledge workers (M)</t>
  </si>
  <si>
    <t xml:space="preserve">finance, legal, consulting, research, marketing, sales, product; ~20% of ~1.05B KW</t>
  </si>
  <si>
    <t xml:space="preserve">kw_gen</t>
  </si>
  <si>
    <t xml:space="preserve">General knowledge workers (M)</t>
  </si>
  <si>
    <t xml:space="preserve">~1B+ knowledge workers globally (Gartner &gt;1B; Forrester 1.25B info workers); residual</t>
  </si>
  <si>
    <t xml:space="preserve">sal_dev</t>
  </si>
  <si>
    <t xml:space="preserve">Avg salary - developers ($k/yr, global blend)</t>
  </si>
  <si>
    <t xml:space="preserve">$k/yr</t>
  </si>
  <si>
    <t xml:space="preserve">US ~$150k, India ~$15k; global blend ~$75k</t>
  </si>
  <si>
    <t xml:space="preserve">sal_pro</t>
  </si>
  <si>
    <t xml:space="preserve">Avg salary - professionals ($k/yr, global blend)</t>
  </si>
  <si>
    <t xml:space="preserve">global blend; US-only ~$100-120k</t>
  </si>
  <si>
    <t xml:space="preserve">sal_gen</t>
  </si>
  <si>
    <t xml:space="preserve">Avg salary - general KW ($k/yr, global blend)</t>
  </si>
  <si>
    <t xml:space="preserve">global blend incl. EM</t>
  </si>
  <si>
    <t xml:space="preserve">Penetration</t>
  </si>
  <si>
    <t xml:space="preserve">pen_dev</t>
  </si>
  <si>
    <t xml:space="preserve">Paid-AI penetration - developers</t>
  </si>
  <si>
    <t xml:space="preserve">%</t>
  </si>
  <si>
    <t xml:space="preserve">2026: ~10-12M paid (GitHub Copilot 4.7M, Cursor, Claude Code, Codex) of ~30M = ~35-40%</t>
  </si>
  <si>
    <t xml:space="preserve">pen_pro</t>
  </si>
  <si>
    <t xml:space="preserve">Paid-AI penetration - professionals</t>
  </si>
  <si>
    <t xml:space="preserve">2026: ~35-40M paid seats globally (M365 Copilot 20M, ChatGPT biz 9M, Claude, Gemini) = ~4% of all KW, ~10% of pros</t>
  </si>
  <si>
    <t xml:space="preserve">pen_gen</t>
  </si>
  <si>
    <t xml:space="preserve">Paid-AI penetration - general KW</t>
  </si>
  <si>
    <t xml:space="preserve">seat-type products ($20-30/mo); Copilot bundling drives this</t>
  </si>
  <si>
    <t xml:space="preserve">Spend</t>
  </si>
  <si>
    <t xml:space="preserve">ratio_dev</t>
  </si>
  <si>
    <t xml:space="preserve">AI spend / salary - developers</t>
  </si>
  <si>
    <t xml:space="preserve">2026: Claude Code enterprise avg $150-250/mo = $1.8-3k/yr = 2-4% of global-blend salary; heavy agent users &gt;$1k/mo</t>
  </si>
  <si>
    <t xml:space="preserve">ratio_pro</t>
  </si>
  <si>
    <t xml:space="preserve">AI spend / salary - professionals</t>
  </si>
  <si>
    <t xml:space="preserve">2026: M365 Copilot $360/yr; ChatGPT Enterprise ~$600-900/yr incl. usage; Atlanta Fed avg AI spend/employee $2,068 (all AI)</t>
  </si>
  <si>
    <t xml:space="preserve">ratio_gen</t>
  </si>
  <si>
    <t xml:space="preserve">AI spend / salary - general KW</t>
  </si>
  <si>
    <t xml:space="preserve">2026: Copilot $360/yr; ChatGPT Business $25-30/seat</t>
  </si>
  <si>
    <t xml:space="preserve">Share</t>
  </si>
  <si>
    <t xml:space="preserve">sh_dev_ant</t>
  </si>
  <si>
    <t xml:space="preserve">Anthropic share - developer spend</t>
  </si>
  <si>
    <t xml:space="preserve">2026: Claude Code $8B ARR (May-26) + Claude inside Cursor/Copilot; Menlo Ventures: Anthropic ~54% of coding model spend (2025)</t>
  </si>
  <si>
    <t xml:space="preserve">sh_dev_oai</t>
  </si>
  <si>
    <t xml:space="preserve">OpenAI share - developer spend</t>
  </si>
  <si>
    <t xml:space="preserve">Codex 2M+ weekly users (Mar-26); GPT-5.x in Cursor/Copilot</t>
  </si>
  <si>
    <t xml:space="preserve">sh_pro_ant</t>
  </si>
  <si>
    <t xml:space="preserve">Anthropic share - professional seats</t>
  </si>
  <si>
    <t xml:space="preserve">Claude Enterprise/Team/Cowork + Bedrock/Vertex/Foundry; MSFT/Google own the seat bundles</t>
  </si>
  <si>
    <t xml:space="preserve">sh_pro_oai</t>
  </si>
  <si>
    <t xml:space="preserve">OpenAI share - professional seats</t>
  </si>
  <si>
    <t xml:space="preserve">2026: 7M enterprise seats, 9M paying business users, &gt;1M business customers</t>
  </si>
  <si>
    <t xml:space="preserve">sh_gen_ant</t>
  </si>
  <si>
    <t xml:space="preserve">Anthropic share - general seats</t>
  </si>
  <si>
    <t xml:space="preserve">mostly model-layer share of Copilot-type bundles</t>
  </si>
  <si>
    <t xml:space="preserve">sh_gen_oai</t>
  </si>
  <si>
    <t xml:space="preserve">OpenAI share - general seats</t>
  </si>
  <si>
    <t xml:space="preserve">ChatGPT Business/Edu; Copilot uses OpenAI models (rev share)</t>
  </si>
  <si>
    <t xml:space="preserve">Machine</t>
  </si>
  <si>
    <t xml:space="preserve">auto_pool</t>
  </si>
  <si>
    <t xml:space="preserve">Labour cost pool of AI-automatable digital tasks ($T)</t>
  </si>
  <si>
    <t xml:space="preserve">$T</t>
  </si>
  <si>
    <t xml:space="preserve">global labour comp ~$58T (2025); knowledge-work comp $35-50T; ~15-20% is task-automatable (support, back-office, docs, content, SDR, IT ops)</t>
  </si>
  <si>
    <t xml:space="preserve">auto_share</t>
  </si>
  <si>
    <t xml:space="preserve">Share of that pool automated by AI agents in 2030</t>
  </si>
  <si>
    <t xml:space="preserve">2026: customer-service and coding agents are the only scaled cases</t>
  </si>
  <si>
    <t xml:space="preserve">auto_capture</t>
  </si>
  <si>
    <t xml:space="preserve">Vendor capture ($ AI spend per $ labour displaced)</t>
  </si>
  <si>
    <t xml:space="preserve">Claude Code $2-3k/yr vs $20-40k of dev output = ~10%; SaaS captures 10-30% of value</t>
  </si>
  <si>
    <t xml:space="preserve">sh_auto_ant</t>
  </si>
  <si>
    <t xml:space="preserve">Anthropic share - machine API</t>
  </si>
  <si>
    <t xml:space="preserve">Menlo Ventures 2025: Anthropic ~32-40% of enterprise LLM API spend, OpenAI ~25%</t>
  </si>
  <si>
    <t xml:space="preserve">sh_auto_oai</t>
  </si>
  <si>
    <t xml:space="preserve">OpenAI share - machine API</t>
  </si>
  <si>
    <t xml:space="preserve">API ~15-20% of OpenAI revenue (2026); 15B tokens/min (Mar-26)</t>
  </si>
  <si>
    <t xml:space="preserve">Consumer OAI</t>
  </si>
  <si>
    <t xml:space="preserve">oai_mau</t>
  </si>
  <si>
    <t xml:space="preserve">ChatGPT MAU 2030 (M)</t>
  </si>
  <si>
    <t xml:space="preserve">1B MAU (Jun-26), ~1B WAU (Jul-26); internet users ~5.6B-&gt;6B; Meta DAP 3.58B</t>
  </si>
  <si>
    <t xml:space="preserve">oai_conv</t>
  </si>
  <si>
    <t xml:space="preserve">Paid conversion (subs / MAU)</t>
  </si>
  <si>
    <t xml:space="preserve">&gt;50M consumer subs / ~1B = ~5% (Aug-26); India Go free promo dilutes</t>
  </si>
  <si>
    <t xml:space="preserve">oai_arpu</t>
  </si>
  <si>
    <t xml:space="preserve">Paid ARPU ($/month, blended)</t>
  </si>
  <si>
    <t xml:space="preserve">$/mo</t>
  </si>
  <si>
    <t xml:space="preserve">Go $8 (US)/Rs399 (India), Plus $20, Pro $200 (~0.5M subs); blended est. $25-30 in 2026, skewing down with EM mix</t>
  </si>
  <si>
    <t xml:space="preserve">oai_ad_arpu</t>
  </si>
  <si>
    <t xml:space="preserve">Ads ARPU per FREE user ($/yr)</t>
  </si>
  <si>
    <t xml:space="preserve">$/yr</t>
  </si>
  <si>
    <t xml:space="preserve">Meta ARPP 2025 $58 global (US&amp;C ~$250+); Google Search ~$60-70/user; OpenAI plan $100B ads by 2030 = ~$50/free user; ads $1B run-rate &lt;200 days after Feb-26 launch</t>
  </si>
  <si>
    <t xml:space="preserve">oai_gmv</t>
  </si>
  <si>
    <t xml:space="preserve">Commerce GMV routed via ChatGPT ($B)</t>
  </si>
  <si>
    <t xml:space="preserve">$B</t>
  </si>
  <si>
    <t xml:space="preserve">Instant Checkout (Sep-25); global e-commerce ~$7T by 2030</t>
  </si>
  <si>
    <t xml:space="preserve">oai_take</t>
  </si>
  <si>
    <t xml:space="preserve">Commerce take rate</t>
  </si>
  <si>
    <t xml:space="preserve">affiliate/checkout take rates 2-4%</t>
  </si>
  <si>
    <t xml:space="preserve">Consumer ANT</t>
  </si>
  <si>
    <t xml:space="preserve">ant_mau</t>
  </si>
  <si>
    <t xml:space="preserve">Claude consumer MAU 2030 (M)</t>
  </si>
  <si>
    <t xml:space="preserve">2026 est. 30-140M (third-party, unreliable); consumer ~5-10% of revenue</t>
  </si>
  <si>
    <t xml:space="preserve">ant_conv</t>
  </si>
  <si>
    <t xml:space="preserve">professional skew; Max tiers</t>
  </si>
  <si>
    <t xml:space="preserve">ant_arpu</t>
  </si>
  <si>
    <t xml:space="preserve">Pro $20, Max $100/$200</t>
  </si>
  <si>
    <t xml:space="preserve">Other</t>
  </si>
  <si>
    <t xml:space="preserve">oai_other</t>
  </si>
  <si>
    <t xml:space="preserve">OpenAI other (devices, licensing, gov, media) ($B)</t>
  </si>
  <si>
    <t xml:space="preserve">io hardware, Sora, sovereign deals, MSFT rev share</t>
  </si>
  <si>
    <t xml:space="preserve">ant_other</t>
  </si>
  <si>
    <t xml:space="preserve">Anthropic other (gov/sovereign, licensing, reseller minimums) ($B)</t>
  </si>
  <si>
    <t xml:space="preserve">defense/gov, Amazon/Alexa, Apple</t>
  </si>
  <si>
    <t xml:space="preserve">Supply</t>
  </si>
  <si>
    <t xml:space="preserve">oai_gw</t>
  </si>
  <si>
    <t xml:space="preserve">OpenAI GW online (avg 2030)</t>
  </si>
  <si>
    <t xml:space="preserve">GW</t>
  </si>
  <si>
    <t xml:space="preserve">1.9GW end-25; 30GW target by 2030; 8GW+ of 10GW Stargate secured; Oracle 4.5GW from 2027; Nvidia 10GW, AMD 6GW, Broadcom 10GW LOIs</t>
  </si>
  <si>
    <t xml:space="preserve">ant_gw</t>
  </si>
  <si>
    <t xml:space="preserve">Anthropic GW online (avg 2030)</t>
  </si>
  <si>
    <t xml:space="preserve">~5GW end-26, ~10GW 2027 (press); Google/Broadcom 3.5GW TPU from 2027; AWS up to 5GW Trainium; Australia 2.16GW (2027)</t>
  </si>
  <si>
    <t xml:space="preserve">inf_share</t>
  </si>
  <si>
    <t xml:space="preserve">Inference share of GW</t>
  </si>
  <si>
    <t xml:space="preserve">2025-26 fleets ~40-50% training/research; shifts to inference as revenue scales</t>
  </si>
  <si>
    <t xml:space="preserve">util</t>
  </si>
  <si>
    <t xml:space="preserve">Inference fleet utilisation</t>
  </si>
  <si>
    <t xml:space="preserve">peak/off-peak; batch jobs fill valleys</t>
  </si>
  <si>
    <t xml:space="preserve">tok_per_gw</t>
  </si>
  <si>
    <t xml:space="preserve">Tokens per GW-year at 100% util (quadrillion)</t>
  </si>
  <si>
    <t xml:space="preserve">1e15 tokens</t>
  </si>
  <si>
    <t xml:space="preserve">OpenAI 2026: ~15-20 quadrillion tok/yr on ~1.5-2GW inference =&gt; ~10 at actual util; Google 38 quadrillion/yr (3.2q/mo, May-26); GB200 frontier config 75-85q/GW (vendor claim), Rubin 2-4x GB300</t>
  </si>
  <si>
    <t xml:space="preserve">price_tok</t>
  </si>
  <si>
    <t xml:space="preserve">Realised blended price ($/M tokens, 2030)</t>
  </si>
  <si>
    <t xml:space="preserve">$/M</t>
  </si>
  <si>
    <t xml:space="preserve">2026 realised: OpenAI ~$2-2.5/M (subs incl.), Anthropic ~$5/M (API-heavy); list Opus $4/$20, GPT $2/$10; ~10x/yr deflation per unit capability offset by mix</t>
  </si>
  <si>
    <t xml:space="preserve">Momentum</t>
  </si>
  <si>
    <t xml:space="preserve">oai_rr26</t>
  </si>
  <si>
    <t xml:space="preserve">OpenAI exit-2026 run-rate ($B)</t>
  </si>
  <si>
    <t xml:space="preserve">&gt;$40B run-rate Aug-26 (+35% QTD)</t>
  </si>
  <si>
    <t xml:space="preserve">ant_rr26</t>
  </si>
  <si>
    <t xml:space="preserve">Anthropic exit-2026 run-rate ($B)</t>
  </si>
  <si>
    <t xml:space="preserve">$65B run-rate end-Jul-26; $47B mid-May; $30B Apr; $14B Feb; $9B Dec-25</t>
  </si>
  <si>
    <t xml:space="preserve">oai_g27</t>
  </si>
  <si>
    <t xml:space="preserve">OpenAI growth 2027</t>
  </si>
  <si>
    <t xml:space="preserve">company plan implies ~60-80%/yr</t>
  </si>
  <si>
    <t xml:space="preserve">oai_g28</t>
  </si>
  <si>
    <t xml:space="preserve">OpenAI growth 2028</t>
  </si>
  <si>
    <t xml:space="preserve">oai_g29</t>
  </si>
  <si>
    <t xml:space="preserve">OpenAI growth 2029</t>
  </si>
  <si>
    <t xml:space="preserve">oai_g30</t>
  </si>
  <si>
    <t xml:space="preserve">OpenAI growth 2030</t>
  </si>
  <si>
    <t xml:space="preserve">ant_g27</t>
  </si>
  <si>
    <t xml:space="preserve">Anthropic growth 2027</t>
  </si>
  <si>
    <t xml:space="preserve">internal p50 May-27 run-rate $138B (third-party cite)</t>
  </si>
  <si>
    <t xml:space="preserve">ant_g28</t>
  </si>
  <si>
    <t xml:space="preserve">Anthropic growth 2028</t>
  </si>
  <si>
    <t xml:space="preserve">IPO case: $190-200B revenue 2028 (Reuters, Aug-26)</t>
  </si>
  <si>
    <t xml:space="preserve">ant_g29</t>
  </si>
  <si>
    <t xml:space="preserve">Anthropic growth 2029</t>
  </si>
  <si>
    <t xml:space="preserve">ant_g30</t>
  </si>
  <si>
    <t xml:space="preserve">Anthropic growth 2030</t>
  </si>
  <si>
    <t xml:space="preserve">OpenAI - 2030 revenue, bottom-up ($B unless stated)</t>
  </si>
  <si>
    <t xml:space="preserve">Green = link to Inputs; black = formula; blue = hardcoded (2026 mix estimates, targets, constants).</t>
  </si>
  <si>
    <t xml:space="preserve">Line</t>
  </si>
  <si>
    <t xml:space="preserve">Formula / note</t>
  </si>
  <si>
    <t xml:space="preserve">Global pools (all vendors) - shared with the other company</t>
  </si>
  <si>
    <t xml:space="preserve">Spend per paid seat - developers</t>
  </si>
  <si>
    <t xml:space="preserve">salary x AI spend ratio</t>
  </si>
  <si>
    <t xml:space="preserve">Spend per paid seat - professionals</t>
  </si>
  <si>
    <t xml:space="preserve">Spend per paid seat - general KW</t>
  </si>
  <si>
    <t xml:space="preserve">Paid developer seats</t>
  </si>
  <si>
    <t xml:space="preserve">M</t>
  </si>
  <si>
    <t xml:space="preserve">workers x penetration</t>
  </si>
  <si>
    <t xml:space="preserve">Paid professional seats</t>
  </si>
  <si>
    <t xml:space="preserve">Paid general KW seats</t>
  </si>
  <si>
    <t xml:space="preserve">Developer AI spend pool</t>
  </si>
  <si>
    <t xml:space="preserve">seats (M) x $/seat / 1000</t>
  </si>
  <si>
    <t xml:space="preserve">Professional AI spend pool</t>
  </si>
  <si>
    <t xml:space="preserve">General KW AI spend pool</t>
  </si>
  <si>
    <t xml:space="preserve">Machine / agent API pool</t>
  </si>
  <si>
    <t xml:space="preserve">labour pool ($T) x automated share x vendor capture</t>
  </si>
  <si>
    <t xml:space="preserve">Total enterprise AI pool (all vendors)</t>
  </si>
  <si>
    <t xml:space="preserve">OpenAI revenue 2030 by segment</t>
  </si>
  <si>
    <t xml:space="preserve">Developers / coding agents</t>
  </si>
  <si>
    <t xml:space="preserve">pool x company share</t>
  </si>
  <si>
    <t xml:space="preserve">Professional seats</t>
  </si>
  <si>
    <t xml:space="preserve">General KW seats</t>
  </si>
  <si>
    <t xml:space="preserve">Machine / agent API</t>
  </si>
  <si>
    <t xml:space="preserve">Consumer subscriptions</t>
  </si>
  <si>
    <t xml:space="preserve">MAU x paid conversion x ARPU x 12</t>
  </si>
  <si>
    <t xml:space="preserve">Consumer ads</t>
  </si>
  <si>
    <t xml:space="preserve">free MAU x ads ARPU</t>
  </si>
  <si>
    <t xml:space="preserve">Commerce / agentic transactions</t>
  </si>
  <si>
    <t xml:space="preserve">GMV x take rate</t>
  </si>
  <si>
    <t xml:space="preserve">TOTAL REVENUE 2030</t>
  </si>
  <si>
    <t xml:space="preserve">Enterprise subtotal (4 engines)</t>
  </si>
  <si>
    <t xml:space="preserve">Consumer subtotal</t>
  </si>
  <si>
    <t xml:space="preserve">Enterprise share of revenue</t>
  </si>
  <si>
    <t xml:space="preserve">Supply-side check (compute)</t>
  </si>
  <si>
    <t xml:space="preserve">GW online (avg 2030)</t>
  </si>
  <si>
    <t xml:space="preserve">Revenue per GW of inference</t>
  </si>
  <si>
    <t xml:space="preserve">$B/GW</t>
  </si>
  <si>
    <t xml:space="preserve">tokens/GW (1e15) x $/M tokens x utilisation</t>
  </si>
  <si>
    <t xml:space="preserve">Revenue per GW of TOTAL capacity</t>
  </si>
  <si>
    <t xml:space="preserve">x inference share of fleet</t>
  </si>
  <si>
    <t xml:space="preserve">Supply-side revenue capacity</t>
  </si>
  <si>
    <t xml:space="preserve">GW x $/GW</t>
  </si>
  <si>
    <t xml:space="preserve">Demand-side revenue (bottom-up)</t>
  </si>
  <si>
    <t xml:space="preserve">Demand / supply capacity</t>
  </si>
  <si>
    <t xml:space="preserve">x</t>
  </si>
  <si>
    <t xml:space="preserve">&gt;1.0x = compute-constrained</t>
  </si>
  <si>
    <t xml:space="preserve">GW needed for demand at this $/GW</t>
  </si>
  <si>
    <t xml:space="preserve">$/GW needed for demand at this GW</t>
  </si>
  <si>
    <t xml:space="preserve">Momentum path (annualised run-rate)</t>
  </si>
  <si>
    <t xml:space="preserve">Exit-2026 run-rate</t>
  </si>
  <si>
    <t xml:space="preserve">Exit-2027 run-rate</t>
  </si>
  <si>
    <t xml:space="preserve">x (1 + growth 2027)</t>
  </si>
  <si>
    <t xml:space="preserve">Exit-2028 run-rate</t>
  </si>
  <si>
    <t xml:space="preserve">x (1 + growth 2028)</t>
  </si>
  <si>
    <t xml:space="preserve">Exit-2029 run-rate</t>
  </si>
  <si>
    <t xml:space="preserve">x (1 + growth 2029)</t>
  </si>
  <si>
    <t xml:space="preserve">Exit-2030 run-rate</t>
  </si>
  <si>
    <t xml:space="preserve">x (1 + growth 2030)</t>
  </si>
  <si>
    <t xml:space="preserve">Bottom-up 2030 / momentum exit-2030</t>
  </si>
  <si>
    <t xml:space="preserve">&lt;1.0x = bottom-up is below the run-rate path</t>
  </si>
  <si>
    <t xml:space="preserve">Bridge: 2026 run-rate mix (est., $B) -&gt; 2030 (multiple per scenario; CAGR on Base)</t>
  </si>
  <si>
    <t xml:space="preserve">Segment</t>
  </si>
  <si>
    <t xml:space="preserve">2026 RR est.</t>
  </si>
  <si>
    <t xml:space="preserve">Bear x</t>
  </si>
  <si>
    <t xml:space="preserve">Base x</t>
  </si>
  <si>
    <t xml:space="preserve">Bull x</t>
  </si>
  <si>
    <t xml:space="preserve">Custom x</t>
  </si>
  <si>
    <t xml:space="preserve">CAGR (Base, 4.33 yrs)</t>
  </si>
  <si>
    <t xml:space="preserve">TOTAL</t>
  </si>
  <si>
    <t xml:space="preserve">2026 mix is our estimate from disclosed run-rates (blue = editable)</t>
  </si>
  <si>
    <t xml:space="preserve">What you need to believe (targets vs Base structure)</t>
  </si>
  <si>
    <t xml:space="preserve">Target revenue 2030 ($B)</t>
  </si>
  <si>
    <t xml:space="preserve">input</t>
  </si>
  <si>
    <t xml:space="preserve">Implied $/GW (total) at Base GW</t>
  </si>
  <si>
    <t xml:space="preserve">target / Base GW</t>
  </si>
  <si>
    <t xml:space="preserve">Implied GW at $/GW =</t>
  </si>
  <si>
    <t xml:space="preserve">the deck's $35B/GW assumption (editable)</t>
  </si>
  <si>
    <t xml:space="preserve">Implied GW at Base $/GW</t>
  </si>
  <si>
    <t xml:space="preserve">Required uplift on enterprise engines vs Base</t>
  </si>
  <si>
    <t xml:space="preserve">consumer + other held at Base</t>
  </si>
  <si>
    <t xml:space="preserve">...if only developer spend/salary moves</t>
  </si>
  <si>
    <t xml:space="preserve">vs Base ratio on Inputs</t>
  </si>
  <si>
    <t xml:space="preserve">...if only machine-API automated share moves</t>
  </si>
  <si>
    <t xml:space="preserve">...if only professional-seat penetration moves</t>
  </si>
  <si>
    <t xml:space="preserve">&gt;100% = impossible</t>
  </si>
  <si>
    <t xml:space="preserve">Target as % of global enterprise AI pool (Base)</t>
  </si>
  <si>
    <t xml:space="preserve">Target as % of global labour compensation ($B) =</t>
  </si>
  <si>
    <t xml:space="preserve">~$58T 2025 growing to ~$65T</t>
  </si>
  <si>
    <t xml:space="preserve">Target as % of global software spend ($B) =</t>
  </si>
  <si>
    <t xml:space="preserve">Gartner $1.47T 2026 -&gt; ~$2.4T 2030</t>
  </si>
  <si>
    <t xml:space="preserve">Anthropic - 2030 revenue, bottom-up ($B unless stated)</t>
  </si>
  <si>
    <t xml:space="preserve">Anthropic revenue 2030 by segment</t>
  </si>
  <si>
    <t xml:space="preserve">Anthropic: no ads (stated policy) - hardcoded 0</t>
  </si>
  <si>
    <t xml:space="preserve">not modelled - hardcoded 0</t>
  </si>
  <si>
    <t xml:space="preserve">Two-way sensitivities (all constants read the Base column of Inputs; headers in blue are editable)</t>
  </si>
  <si>
    <t xml:space="preserve">Revenue ($B) = GW x $/GW</t>
  </si>
  <si>
    <t xml:space="preserve">GW \ $B/GW</t>
  </si>
  <si>
    <t xml:space="preserve">$/GW of TOTAL capacity ($B) = tokens/GW (1e15) x $/M tokens x inference share x utilisation (Base)</t>
  </si>
  <si>
    <t xml:space="preserve">q tokens/GW-yr \ $/M tokens</t>
  </si>
  <si>
    <t xml:space="preserve">OpenAI ads revenue ($B) = free MAU (M) x ads ARPU ($/yr)</t>
  </si>
  <si>
    <t xml:space="preserve">free MAU (M) \ $/free user/yr</t>
  </si>
  <si>
    <t xml:space="preserve">OpenAI consumer subscriptions ($B) = MAU (M) x paid conversion x Base ARPU x 12</t>
  </si>
  <si>
    <t xml:space="preserve">MAU (M) \ paid conversion</t>
  </si>
  <si>
    <t xml:space="preserve">Anthropic developer engine ($B) = paid devs (Base: workers x penetration) x spend ($k/dev/yr) x Anthropic share</t>
  </si>
  <si>
    <t xml:space="preserve">$k/dev/yr \ Anthropic share</t>
  </si>
  <si>
    <t xml:space="preserve">Professional-seat global pool ($B) = professionals (Base) x penetration x $/seat</t>
  </si>
  <si>
    <t xml:space="preserve">penetration \ $/seat/yr</t>
  </si>
  <si>
    <t xml:space="preserve">Machine / agent API global pool ($B) = labour pool (Base, $T) x automated share x vendor capture</t>
  </si>
  <si>
    <t xml:space="preserve">automated share \ vendor capture</t>
  </si>
  <si>
    <t xml:space="preserve">Gross margin on inference = 1 - (compute cost per GW / revenue per GW)</t>
  </si>
  <si>
    <t xml:space="preserve">$B revenue/GW \ $B cost/GW-yr</t>
  </si>
  <si>
    <t xml:space="preserve">Data anchors and sources (as of 24-Sep-2026; several are press summaries of company disclosures - flagged 'secondary')</t>
  </si>
  <si>
    <t xml:space="preserve">Data point</t>
  </si>
  <si>
    <t xml:space="preserve">Date</t>
  </si>
  <si>
    <t xml:space="preserve">Source</t>
  </si>
  <si>
    <t xml:space="preserve">URL</t>
  </si>
  <si>
    <t xml:space="preserve">OpenAI annualised revenue run-rate &gt;$40B; enterprise &gt;50% of mix</t>
  </si>
  <si>
    <t xml:space="preserve">Aug-2026</t>
  </si>
  <si>
    <t xml:space="preserve">press (enterprisedna.co / valueaddvc.com summaries of company statements)</t>
  </si>
  <si>
    <t xml:space="preserve">https://enterprisedna.co/resources/news/openai-enterprise-revenue-overtakes-consumer-40-billion-arr-2026/</t>
  </si>
  <si>
    <t xml:space="preserve">ChatGPT ~1B MAU (Jun-26), ~1B WAU (Jul-26); &gt;50M consumer subs; 9M paying business users; 7M enterprise seats</t>
  </si>
  <si>
    <t xml:space="preserve">Jul/Aug-2026</t>
  </si>
  <si>
    <t xml:space="preserve">demandsage / secondtalent (secondary)</t>
  </si>
  <si>
    <t xml:space="preserve">https://www.demandsage.com/chatgpt-statistics/</t>
  </si>
  <si>
    <t xml:space="preserve">OpenAI forecasts 2030 revenue &gt;$280B; consumer/enterprise ~50/50 by 2030</t>
  </si>
  <si>
    <t xml:space="preserve">20-Feb-2026</t>
  </si>
  <si>
    <t xml:space="preserve">Bloomberg</t>
  </si>
  <si>
    <t xml:space="preserve">https://www.bloomberg.com/news/articles/2026-02-20/openai-forecasts-its-revenue-will-top-280-billion-in-2030</t>
  </si>
  <si>
    <t xml:space="preserve">OpenAI ads plan: $2.5B 2026, $11B 2027, $25B 2028, $53B 2029, $100B 2030</t>
  </si>
  <si>
    <t xml:space="preserve">09-Apr-2026</t>
  </si>
  <si>
    <t xml:space="preserve">Axios</t>
  </si>
  <si>
    <t xml:space="preserve">https://axios.com/2026/04/09/openai-100-billion-in-ad-revenue</t>
  </si>
  <si>
    <t xml:space="preserve">ChatGPT ads: launched 9-Feb-2026 (US Free + Go); $1B run-rate in &lt;200 days; ~$60 CPM</t>
  </si>
  <si>
    <t xml:space="preserve">2026</t>
  </si>
  <si>
    <t xml:space="preserve">press (secondary)</t>
  </si>
  <si>
    <t xml:space="preserve">https://explainx.ai/blog/openai-advertise-in-chatgpt-ads-launch-july-2026</t>
  </si>
  <si>
    <t xml:space="preserve">OpenAI API 15B tokens/min; Codex 2M+ weekly users</t>
  </si>
  <si>
    <t xml:space="preserve">Mar-2026</t>
  </si>
  <si>
    <t xml:space="preserve">OpenAI</t>
  </si>
  <si>
    <t xml:space="preserve">https://openai.com/index/a-business-that-scales-with-the-value-of-intelligence/</t>
  </si>
  <si>
    <t xml:space="preserve">OpenAI compute: 0.2GW (2023) -&gt; 1.9GW (2025) while run-rate $2B -&gt; $20B (~$10B/GW)</t>
  </si>
  <si>
    <t xml:space="preserve">2025</t>
  </si>
  <si>
    <t xml:space="preserve">MBI Deep Dives citing OpenAI</t>
  </si>
  <si>
    <t xml:space="preserve">https://www.mbi-deepdives.com/oai-breakeven/</t>
  </si>
  <si>
    <t xml:space="preserve">OpenAI 30GW target by 2030; compute spend ~$600B -&gt; ~$750B through 2030</t>
  </si>
  <si>
    <t xml:space="preserve">WSJ / DCD (secondary)</t>
  </si>
  <si>
    <t xml:space="preserve">https://www.datacenterdynamics.com/en/news/openai-cuts-projected-compute-spend-to-600bn-by-2030-report/</t>
  </si>
  <si>
    <t xml:space="preserve">OpenAI-Nvidia 10GW LOI; AMD 6GW; Broadcom 10GW; Stargate 10GW (8GW+ secured)</t>
  </si>
  <si>
    <t xml:space="preserve">2025-26</t>
  </si>
  <si>
    <t xml:space="preserve">https://openai.com/index/openai-nvidia-systems-partnership/</t>
  </si>
  <si>
    <t xml:space="preserve">Oracle-OpenAI $300B / 5 yrs / 4.5GW (~$13.3B per GW-year)</t>
  </si>
  <si>
    <t xml:space="preserve">Jul/Sep-2025</t>
  </si>
  <si>
    <t xml:space="preserve">The Register</t>
  </si>
  <si>
    <t xml:space="preserve">https://www.theregister.com/2025/07/22/openai_oracle_gpus/</t>
  </si>
  <si>
    <t xml:space="preserve">Anthropic run-rate $65B (end-Jul-26); $47B mid-May; $9B end-2025</t>
  </si>
  <si>
    <t xml:space="preserve">17-Aug-2026</t>
  </si>
  <si>
    <t xml:space="preserve">Bloomberg / TechCrunch / Axios</t>
  </si>
  <si>
    <t xml:space="preserve">https://techcrunch.com/2026/08/17/anthropics-annualized-revenue-surges-to-65b/</t>
  </si>
  <si>
    <t xml:space="preserve">Anthropic run-rate &gt;$30B; &gt;1,000 customers &gt;$1M/yr; multi-GW TPU capacity from 2027</t>
  </si>
  <si>
    <t xml:space="preserve">Apr-2026</t>
  </si>
  <si>
    <t xml:space="preserve">Anthropic</t>
  </si>
  <si>
    <t xml:space="preserve">https://www.anthropic.com/news/google-broadcom-partnership-compute</t>
  </si>
  <si>
    <t xml:space="preserve">Anthropic IPO case: $190-200B revenue in 2028</t>
  </si>
  <si>
    <t xml:space="preserve">14-Aug-2026</t>
  </si>
  <si>
    <t xml:space="preserve">Reuters</t>
  </si>
  <si>
    <t xml:space="preserve">https://www.usnews.com/news/top-news/articles/2026-08-14/exclusive-anthropic-ipo-valuation-hinges-on-190-200-billion-2028-revenue-forecast-sources-say</t>
  </si>
  <si>
    <t xml:space="preserve">Anthropic ~5GW end-2026, ~10GW 2027; 3.5GW Google/Broadcom TPU; AWS up to 5GW Trainium; 2.16GW Australia</t>
  </si>
  <si>
    <t xml:space="preserve">https://cryptobriefing.com/anthropic-10-gw-compute-capacity-2027/</t>
  </si>
  <si>
    <t xml:space="preserve">Claude Code $8B ARR (May-26); &gt;50% enterprise</t>
  </si>
  <si>
    <t xml:space="preserve">May-2026</t>
  </si>
  <si>
    <t xml:space="preserve">https://aibusinessweekly.net/p/claude-code-statistics</t>
  </si>
  <si>
    <t xml:space="preserve">Anthropic gross margin 40% (2025), guided 63% (2026), 70% (2027)</t>
  </si>
  <si>
    <t xml:space="preserve">Jan-2026</t>
  </si>
  <si>
    <t xml:space="preserve">The Information via valueaddvc (secondary)</t>
  </si>
  <si>
    <t xml:space="preserve">https://valueaddvc.com/blog/is-anthropic-profitable-2026-losses-burn-rate-and-the-path-to-breakeven</t>
  </si>
  <si>
    <t xml:space="preserve">Claude Code cost: avg ~$6/dev/day; 90% of users &lt;$12/day; enterprise avg $150-250/dev/month</t>
  </si>
  <si>
    <t xml:space="preserve">Anthropic docs / morphllm</t>
  </si>
  <si>
    <t xml:space="preserve">https://code.claude.com/docs/en/costs</t>
  </si>
  <si>
    <t xml:space="preserve">Claude pricing: Pro $20, Max $100/$200, Team $25 std / $125 premium, Enterprise ~$20/seat + usage</t>
  </si>
  <si>
    <t xml:space="preserve">Sep-2026</t>
  </si>
  <si>
    <t xml:space="preserve">https://claude.com/pricing</t>
  </si>
  <si>
    <t xml:space="preserve">ChatGPT Go $8/mo US, Rs399 India (free promo to Dec-26); Plus $20; Pro $200</t>
  </si>
  <si>
    <t xml:space="preserve">https://openai.com/index/introducing-chatgpt-go/</t>
  </si>
  <si>
    <t xml:space="preserve">Meta FY2025 revenue $200.1B; DAP 3.58B; Q4-25 ARPP $16.56 (~$58/yr)</t>
  </si>
  <si>
    <t xml:space="preserve">28-Jan-2026</t>
  </si>
  <si>
    <t xml:space="preserve">Meta IR</t>
  </si>
  <si>
    <t xml:space="preserve">https://investor.atmeta.com/investor-news/press-release-details/2026/Meta-Reports-Fourth-Quarter-and-Full-Year-2025-Results/default.aspx</t>
  </si>
  <si>
    <t xml:space="preserve">Google Search &amp; other ads revenue 2025: $175.8B</t>
  </si>
  <si>
    <t xml:space="preserve">Feb-2026</t>
  </si>
  <si>
    <t xml:space="preserve">Alphabet Q4-25 release</t>
  </si>
  <si>
    <t xml:space="preserve">https://s206.q4cdn.com/479360582/files/doc_financials/2025/q4/2025q4-alphabet-earnings-release.pdf</t>
  </si>
  <si>
    <t xml:space="preserve">Google processes 3.2 quadrillion tokens/month (7x YoY)</t>
  </si>
  <si>
    <t xml:space="preserve">Google I/O 2026</t>
  </si>
  <si>
    <t xml:space="preserve">https://blog.google/innovation-and-ai/sundar-pichai-io-2026/</t>
  </si>
  <si>
    <t xml:space="preserve">M365 Copilot 20M paid seats (Q3 FY26) at $30/seat; 450M M365 commercial seats; GitHub Copilot 4.7M paid</t>
  </si>
  <si>
    <t xml:space="preserve">Jan-Apr 2026</t>
  </si>
  <si>
    <t xml:space="preserve">Microsoft earnings via Directions on Microsoft (secondary)</t>
  </si>
  <si>
    <t xml:space="preserve">https://www.directionsonmicrosoft.com/microsoft-claims-15-million-paid-m365-copilot-seats/</t>
  </si>
  <si>
    <t xml:space="preserve">Cursor $2B+ ARR</t>
  </si>
  <si>
    <t xml:space="preserve">secondtalent (secondary)</t>
  </si>
  <si>
    <t xml:space="preserve">https://www.secondtalent.com/resources/cursor-vs-github-copilot/</t>
  </si>
  <si>
    <t xml:space="preserve">Enterprise LLM API spend share: Anthropic ~32-40%, OpenAI ~25-27%; coding ~54% Anthropic</t>
  </si>
  <si>
    <t xml:space="preserve">Menlo Ventures (via secondary)</t>
  </si>
  <si>
    <t xml:space="preserve">https://medium.com/@david.j.sea/anthropic-just-passed-openai-in-revenue-here-is-why-it-matters-e3dd9bb04069</t>
  </si>
  <si>
    <t xml:space="preserve">AI spend per employee 2026: avg $2,068 (+50% YoY); top decile &gt;$2,800; median &lt;$200</t>
  </si>
  <si>
    <t xml:space="preserve">06-May-2026</t>
  </si>
  <si>
    <t xml:space="preserve">Atlanta Fed</t>
  </si>
  <si>
    <t xml:space="preserve">https://www.atlantafed.org/research-and-data/publications/policy-hub-macroblog/2026/05/06/how-much-firms-spending-on-ai-and-what-will-happen-to-headcounts</t>
  </si>
  <si>
    <t xml:space="preserve">Gartner: IT spend 2026 $6.37T (+14.2%); software $1.468T (+15.5%); AI spending $2.59T (+47%)</t>
  </si>
  <si>
    <t xml:space="preserve">Jul-2026</t>
  </si>
  <si>
    <t xml:space="preserve">Gartner</t>
  </si>
  <si>
    <t xml:space="preserve">https://www.gartner.com/en/newsroom/press-releases/2026-07-27-gartner-forecasts-worldwide-it-spending-to-grow-14-point-2-percent-in-2026-totaling-6-point-37-trillion</t>
  </si>
  <si>
    <t xml:space="preserve">Knowledge workers ~1B+ globally (Gartner); 1.25B information workers (Forrester 2018); global labour comp ~$58T</t>
  </si>
  <si>
    <t xml:space="preserve">various</t>
  </si>
  <si>
    <t xml:space="preserve">Forrester / Gartner / Substrate gist (secondary)</t>
  </si>
  <si>
    <t xml:space="preserve">https://go.forrester.com/blogs/the-global-information-worker-population-swells-to-1-25-billion-in-2018/</t>
  </si>
  <si>
    <t xml:space="preserve">Bain: AI needs $2T annual revenue by 2030; $800B shortfall; ~200GW global AI compute by 2030</t>
  </si>
  <si>
    <t xml:space="preserve">Sep-2025</t>
  </si>
  <si>
    <t xml:space="preserve">Bain &amp; Company</t>
  </si>
  <si>
    <t xml:space="preserve">https://www.bain.com/about/media-center/press-releases/20252/$2-trillion-in-new-revenue-needed-to-fund-ais-scaling-trend---bain--companys-6th-annual-global-technology-report/</t>
  </si>
  <si>
    <t xml:space="preserve">1GW AI data center TCO: ~$38B upfront capex + ~$0.9B/yr opex (servers ~60% of annualised cost)</t>
  </si>
  <si>
    <t xml:space="preserve">Epoch AI</t>
  </si>
  <si>
    <t xml:space="preserve">https://epoch.ai/data-insights/ai-datacenter-cost-breakdown</t>
  </si>
  <si>
    <t xml:space="preserve">Frontier API list prices Sep-2026: Claude Opus 5.5 $4/$20, GPT-6 Sol $2/$10, Gemini 3.8 Flash $0.75/$3.75 per M tokens</t>
  </si>
  <si>
    <t xml:space="preserve">benchlm / developersdigest (secondary)</t>
  </si>
  <si>
    <t xml:space="preserve">https://benchlm.ai/llm-pricing</t>
  </si>
  <si>
    <t xml:space="preserve">Superforecasters: OpenAI+Anthropic combined 2030 run-rate median $300B; 34% prob &gt;$400B; 18% prob &lt;$100B</t>
  </si>
  <si>
    <t xml:space="preserve">Forecasting Research Institute</t>
  </si>
  <si>
    <t xml:space="preserve">https://forecastingresearch.substack.com/p/will-the-ai-boom-continue-forecasting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</si>
</sst>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.0;\(#,##0.0\);\-"/>
    <numFmt numFmtId="166" formatCode="#,##0"/>
    <numFmt numFmtId="167" formatCode="0.0%"/>
    <numFmt numFmtId="168" formatCode="0.0"/>
    <numFmt numFmtId="169" formatCode="\$#,##0"/>
    <numFmt numFmtId="170" formatCode="\$0.00"/>
    <numFmt numFmtId="171" formatCode="#,##0.0"/>
    <numFmt numFmtId="172" formatCode="0.00\x"/>
    <numFmt numFmtId="173" formatCode="0.0\x"/>
    <numFmt numFmtId="174" formatCode="0.00%"/>
    <numFmt numFmtId="175" formatCode="\$0.0&quot;B/GW&quot;"/>
    <numFmt numFmtId="176" formatCode="0&quot; GW&quot;"/>
    <numFmt numFmtId="177" formatCode="\$0.0&quot;/M&quot;"/>
    <numFmt numFmtId="178" formatCode="0\q"/>
    <numFmt numFmtId="179" formatCode="\$0"/>
    <numFmt numFmtId="180" formatCode="0%"/>
    <numFmt numFmtId="181" formatCode="\$0\k"/>
    <numFmt numFmtId="182" formatCode="\$#,##0"/>
    <numFmt numFmtId="183" formatCode="\$0.0\B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enterprisedna.co/resources/news/openai-enterprise-revenue-overtakes-consumer-40-billion-arr-2026/" TargetMode="External"/><Relationship Id="rId2" Type="http://schemas.openxmlformats.org/officeDocument/2006/relationships/hyperlink" Target="https://www.demandsage.com/chatgpt-statistics/" TargetMode="External"/><Relationship Id="rId3" Type="http://schemas.openxmlformats.org/officeDocument/2006/relationships/hyperlink" Target="https://www.bloomberg.com/news/articles/2026-02-20/openai-forecasts-its-revenue-will-top-280-billion-in-2030" TargetMode="External"/><Relationship Id="rId4" Type="http://schemas.openxmlformats.org/officeDocument/2006/relationships/hyperlink" Target="https://axios.com/2026/04/09/openai-100-billion-in-ad-revenue" TargetMode="External"/><Relationship Id="rId5" Type="http://schemas.openxmlformats.org/officeDocument/2006/relationships/hyperlink" Target="https://explainx.ai/blog/openai-advertise-in-chatgpt-ads-launch-july-2026" TargetMode="External"/><Relationship Id="rId6" Type="http://schemas.openxmlformats.org/officeDocument/2006/relationships/hyperlink" Target="https://openai.com/index/a-business-that-scales-with-the-value-of-intelligence/" TargetMode="External"/><Relationship Id="rId7" Type="http://schemas.openxmlformats.org/officeDocument/2006/relationships/hyperlink" Target="https://www.mbi-deepdives.com/oai-breakeven/" TargetMode="External"/><Relationship Id="rId8" Type="http://schemas.openxmlformats.org/officeDocument/2006/relationships/hyperlink" Target="https://www.datacenterdynamics.com/en/news/openai-cuts-projected-compute-spend-to-600bn-by-2030-report/" TargetMode="External"/><Relationship Id="rId9" Type="http://schemas.openxmlformats.org/officeDocument/2006/relationships/hyperlink" Target="https://openai.com/index/openai-nvidia-systems-partnership/" TargetMode="External"/><Relationship Id="rId10" Type="http://schemas.openxmlformats.org/officeDocument/2006/relationships/hyperlink" Target="https://www.theregister.com/2025/07/22/openai_oracle_gpus/" TargetMode="External"/><Relationship Id="rId11" Type="http://schemas.openxmlformats.org/officeDocument/2006/relationships/hyperlink" Target="https://techcrunch.com/2026/08/17/anthropics-annualized-revenue-surges-to-65b/" TargetMode="External"/><Relationship Id="rId12" Type="http://schemas.openxmlformats.org/officeDocument/2006/relationships/hyperlink" Target="https://www.anthropic.com/news/google-broadcom-partnership-compute" TargetMode="External"/><Relationship Id="rId13" Type="http://schemas.openxmlformats.org/officeDocument/2006/relationships/hyperlink" Target="https://www.usnews.com/news/top-news/articles/2026-08-14/exclusive-anthropic-ipo-valuation-hinges-on-190-200-billion-2028-revenue-forecast-sources-say" TargetMode="External"/><Relationship Id="rId14" Type="http://schemas.openxmlformats.org/officeDocument/2006/relationships/hyperlink" Target="https://cryptobriefing.com/anthropic-10-gw-compute-capacity-2027/" TargetMode="External"/><Relationship Id="rId15" Type="http://schemas.openxmlformats.org/officeDocument/2006/relationships/hyperlink" Target="https://aibusinessweekly.net/p/claude-code-statistics" TargetMode="External"/><Relationship Id="rId16" Type="http://schemas.openxmlformats.org/officeDocument/2006/relationships/hyperlink" Target="https://valueaddvc.com/blog/is-anthropic-profitable-2026-losses-burn-rate-and-the-path-to-breakeven" TargetMode="External"/><Relationship Id="rId17" Type="http://schemas.openxmlformats.org/officeDocument/2006/relationships/hyperlink" Target="https://code.claude.com/docs/en/costs" TargetMode="External"/><Relationship Id="rId18" Type="http://schemas.openxmlformats.org/officeDocument/2006/relationships/hyperlink" Target="https://claude.com/pricing" TargetMode="External"/><Relationship Id="rId19" Type="http://schemas.openxmlformats.org/officeDocument/2006/relationships/hyperlink" Target="https://openai.com/index/introducing-chatgpt-go/" TargetMode="External"/><Relationship Id="rId20" Type="http://schemas.openxmlformats.org/officeDocument/2006/relationships/hyperlink" Target="https://investor.atmeta.com/investor-news/press-release-details/2026/Meta-Reports-Fourth-Quarter-and-Full-Year-2025-Results/default.aspx" TargetMode="External"/><Relationship Id="rId21" Type="http://schemas.openxmlformats.org/officeDocument/2006/relationships/hyperlink" Target="https://s206.q4cdn.com/479360582/files/doc_financials/2025/q4/2025q4-alphabet-earnings-release.pdf" TargetMode="External"/><Relationship Id="rId22" Type="http://schemas.openxmlformats.org/officeDocument/2006/relationships/hyperlink" Target="https://blog.google/innovation-and-ai/sundar-pichai-io-2026/" TargetMode="External"/><Relationship Id="rId23" Type="http://schemas.openxmlformats.org/officeDocument/2006/relationships/hyperlink" Target="https://www.directionsonmicrosoft.com/microsoft-claims-15-million-paid-m365-copilot-seats/" TargetMode="External"/><Relationship Id="rId24" Type="http://schemas.openxmlformats.org/officeDocument/2006/relationships/hyperlink" Target="https://www.secondtalent.com/resources/cursor-vs-github-copilot/" TargetMode="External"/><Relationship Id="rId25" Type="http://schemas.openxmlformats.org/officeDocument/2006/relationships/hyperlink" Target="https://medium.com/@david.j.sea/anthropic-just-passed-openai-in-revenue-here-is-why-it-matters-e3dd9bb04069" TargetMode="External"/><Relationship Id="rId26" Type="http://schemas.openxmlformats.org/officeDocument/2006/relationships/hyperlink" Target="https://www.atlantafed.org/research-and-data/publications/policy-hub-macroblog/2026/05/06/how-much-firms-spending-on-ai-and-what-will-happen-to-headcounts" TargetMode="External"/><Relationship Id="rId27" Type="http://schemas.openxmlformats.org/officeDocument/2006/relationships/hyperlink" Target="https://www.gartner.com/en/newsroom/press-releases/2026-07-27-gartner-forecasts-worldwide-it-spending-to-grow-14-point-2-percent-in-2026-totaling-6-point-37-trillion" TargetMode="External"/><Relationship Id="rId28" Type="http://schemas.openxmlformats.org/officeDocument/2006/relationships/hyperlink" Target="https://go.forrester.com/blogs/the-global-information-worker-population-swells-to-1-25-billion-in-2018/" TargetMode="External"/><Relationship Id="rId29" Type="http://schemas.openxmlformats.org/officeDocument/2006/relationships/hyperlink" Target="https://www.bain.com/about/media-center/press-releases/20252/$2-trillion-in-new-revenue-needed-to-fund-ais-scaling-trend---bain--companys-6th-annual-global-technology-report/" TargetMode="External"/><Relationship Id="rId30" Type="http://schemas.openxmlformats.org/officeDocument/2006/relationships/hyperlink" Target="https://epoch.ai/data-insights/ai-datacenter-cost-breakdown" TargetMode="External"/><Relationship Id="rId31" Type="http://schemas.openxmlformats.org/officeDocument/2006/relationships/hyperlink" Target="https://benchlm.ai/llm-pricing" TargetMode="External"/><Relationship Id="rId32" Type="http://schemas.openxmlformats.org/officeDocument/2006/relationships/hyperlink" Target="https://forecastingresearch.substack.com/p/will-the-ai-boom-continue-forecast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OpenAI!C27</f>
        <v>95.810644</v>
      </c>
      <c r="C5" s="5" t="n">
        <f aca="false">OpenAI!D27</f>
        <v>297.655</v>
      </c>
      <c r="D5" s="5" t="n">
        <f aca="false">OpenAI!E27</f>
        <v>714.324</v>
      </c>
      <c r="E5" s="5" t="n">
        <f aca="false">OpenAI!F27</f>
        <v>297.655</v>
      </c>
    </row>
    <row r="6" customFormat="false" ht="15" hidden="false" customHeight="false" outlineLevel="0" collapsed="false">
      <c r="A6" s="4" t="s">
        <v>8</v>
      </c>
      <c r="B6" s="5" t="n">
        <f aca="false">OpenAI!C36</f>
        <v>95.04</v>
      </c>
      <c r="C6" s="5" t="n">
        <f aca="false">OpenAI!D36</f>
        <v>296.8064</v>
      </c>
      <c r="D6" s="5" t="n">
        <f aca="false">OpenAI!E36</f>
        <v>1401.7536</v>
      </c>
      <c r="E6" s="5" t="n">
        <f aca="false">OpenAI!F36</f>
        <v>296.8064</v>
      </c>
    </row>
    <row r="7" customFormat="false" ht="15" hidden="false" customHeight="false" outlineLevel="0" collapsed="false">
      <c r="A7" s="4" t="s">
        <v>9</v>
      </c>
      <c r="B7" s="5" t="n">
        <f aca="false">OpenAI!C47</f>
        <v>116.53824</v>
      </c>
      <c r="C7" s="5" t="n">
        <f aca="false">OpenAI!D47</f>
        <v>274.05</v>
      </c>
      <c r="D7" s="5" t="n">
        <f aca="false">OpenAI!E47</f>
        <v>407.281875</v>
      </c>
      <c r="E7" s="5" t="n">
        <f aca="false">OpenAI!F47</f>
        <v>274.05</v>
      </c>
    </row>
    <row r="8" customFormat="false" ht="15" hidden="false" customHeight="false" outlineLevel="0" collapsed="false">
      <c r="A8" s="4" t="s">
        <v>10</v>
      </c>
      <c r="B8" s="5" t="n">
        <f aca="false">OpenAI!C40</f>
        <v>6.38737626666667</v>
      </c>
      <c r="C8" s="5" t="n">
        <f aca="false">OpenAI!D40</f>
        <v>13.5297727272727</v>
      </c>
      <c r="D8" s="5" t="n">
        <f aca="false">OpenAI!E40</f>
        <v>23.8108</v>
      </c>
      <c r="E8" s="5" t="n">
        <f aca="false">OpenAI!F40</f>
        <v>13.5297727272727</v>
      </c>
    </row>
    <row r="9" customFormat="false" ht="15" hidden="false" customHeight="false" outlineLevel="0" collapsed="false">
      <c r="A9" s="4" t="s">
        <v>11</v>
      </c>
      <c r="B9" s="5" t="n">
        <f aca="false">Anthropic!C27</f>
        <v>82.332124</v>
      </c>
      <c r="C9" s="5" t="n">
        <f aca="false">Anthropic!D27</f>
        <v>259.416</v>
      </c>
      <c r="D9" s="5" t="n">
        <f aca="false">Anthropic!E27</f>
        <v>567.71136</v>
      </c>
      <c r="E9" s="5" t="n">
        <f aca="false">Anthropic!F27</f>
        <v>259.416</v>
      </c>
    </row>
    <row r="10" customFormat="false" ht="15" hidden="false" customHeight="false" outlineLevel="0" collapsed="false">
      <c r="A10" s="4" t="s">
        <v>12</v>
      </c>
      <c r="B10" s="5" t="n">
        <f aca="false">Anthropic!C36</f>
        <v>63.36</v>
      </c>
      <c r="C10" s="5" t="n">
        <f aca="false">Anthropic!D36</f>
        <v>215.8592</v>
      </c>
      <c r="D10" s="5" t="n">
        <f aca="false">Anthropic!E36</f>
        <v>1027.95264</v>
      </c>
      <c r="E10" s="5" t="n">
        <f aca="false">Anthropic!F36</f>
        <v>215.8592</v>
      </c>
    </row>
    <row r="11" customFormat="false" ht="15" hidden="false" customHeight="false" outlineLevel="0" collapsed="false">
      <c r="A11" s="4" t="s">
        <v>13</v>
      </c>
      <c r="B11" s="5" t="n">
        <f aca="false">Anthropic!C47</f>
        <v>162.219008</v>
      </c>
      <c r="C11" s="5" t="n">
        <f aca="false">Anthropic!D47</f>
        <v>346.086</v>
      </c>
      <c r="D11" s="5" t="n">
        <f aca="false">Anthropic!E47</f>
        <v>582.4</v>
      </c>
      <c r="E11" s="5" t="n">
        <f aca="false">Anthropic!F47</f>
        <v>346.086</v>
      </c>
    </row>
    <row r="12" customFormat="false" ht="15" hidden="false" customHeight="false" outlineLevel="0" collapsed="false">
      <c r="A12" s="4" t="s">
        <v>14</v>
      </c>
      <c r="B12" s="5" t="n">
        <f aca="false">Anthropic!C40</f>
        <v>8.2332124</v>
      </c>
      <c r="C12" s="5" t="n">
        <f aca="false">Anthropic!D40</f>
        <v>16.2135</v>
      </c>
      <c r="D12" s="5" t="n">
        <f aca="false">Anthropic!E40</f>
        <v>25.8050618181818</v>
      </c>
      <c r="E12" s="5" t="n">
        <f aca="false">Anthropic!F40</f>
        <v>16.2135</v>
      </c>
    </row>
    <row r="13" customFormat="false" ht="15" hidden="false" customHeight="false" outlineLevel="0" collapsed="false">
      <c r="A13" s="6" t="s">
        <v>15</v>
      </c>
      <c r="B13" s="7" t="n">
        <f aca="false">B5+B9</f>
        <v>178.142768</v>
      </c>
      <c r="C13" s="7" t="n">
        <f aca="false">C5+C9</f>
        <v>557.071</v>
      </c>
      <c r="D13" s="7" t="n">
        <f aca="false">D5+D9</f>
        <v>1282.03536</v>
      </c>
      <c r="E13" s="7" t="n">
        <f aca="false">E5+E9</f>
        <v>557.071</v>
      </c>
    </row>
    <row r="15" customFormat="false" ht="15" hidden="false" customHeight="false" outlineLevel="0" collapsed="false">
      <c r="A15" s="6" t="s">
        <v>16</v>
      </c>
    </row>
    <row r="16" customFormat="false" ht="15" hidden="false" customHeight="false" outlineLevel="0" collapsed="false">
      <c r="A16" s="4" t="s">
        <v>17</v>
      </c>
      <c r="B16" s="8" t="n">
        <v>40</v>
      </c>
      <c r="C16" s="2" t="s">
        <v>18</v>
      </c>
    </row>
    <row r="17" customFormat="false" ht="15" hidden="false" customHeight="false" outlineLevel="0" collapsed="false">
      <c r="A17" s="4" t="s">
        <v>19</v>
      </c>
      <c r="B17" s="8" t="n">
        <v>65</v>
      </c>
      <c r="C17" s="2" t="s">
        <v>20</v>
      </c>
    </row>
    <row r="18" customFormat="false" ht="15" hidden="false" customHeight="false" outlineLevel="0" collapsed="false">
      <c r="A18" s="4" t="s">
        <v>21</v>
      </c>
      <c r="B18" s="8" t="n">
        <v>280</v>
      </c>
      <c r="C18" s="2" t="s">
        <v>22</v>
      </c>
    </row>
    <row r="19" customFormat="false" ht="15" hidden="false" customHeight="false" outlineLevel="0" collapsed="false">
      <c r="A19" s="4" t="s">
        <v>23</v>
      </c>
      <c r="B19" s="8" t="n">
        <v>195</v>
      </c>
      <c r="C19" s="2" t="s">
        <v>24</v>
      </c>
    </row>
    <row r="20" customFormat="false" ht="15" hidden="false" customHeight="false" outlineLevel="0" collapsed="false">
      <c r="A20" s="4" t="s">
        <v>25</v>
      </c>
      <c r="B20" s="8" t="n">
        <v>300</v>
      </c>
      <c r="C20" s="2" t="s">
        <v>26</v>
      </c>
    </row>
    <row r="21" customFormat="false" ht="15" hidden="false" customHeight="false" outlineLevel="0" collapsed="false">
      <c r="A21" s="4" t="s">
        <v>27</v>
      </c>
      <c r="B21" s="8" t="n">
        <v>2000</v>
      </c>
      <c r="C21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6" min="4" style="0" width="10"/>
    <col collapsed="false" customWidth="true" hidden="false" outlineLevel="0" max="7" min="7" style="0" width="13"/>
    <col collapsed="false" customWidth="true" hidden="false" outlineLevel="0" max="8" min="8" style="0" width="11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</v>
      </c>
      <c r="E4" s="3" t="s">
        <v>4</v>
      </c>
      <c r="F4" s="3" t="s">
        <v>5</v>
      </c>
      <c r="G4" s="3" t="s">
        <v>34</v>
      </c>
      <c r="H4" s="3" t="s">
        <v>35</v>
      </c>
    </row>
    <row r="5" customFormat="false" ht="15" hidden="false" customHeight="false" outlineLevel="0" collapsed="false">
      <c r="A5" s="9" t="s">
        <v>36</v>
      </c>
      <c r="B5" s="10"/>
      <c r="C5" s="10"/>
      <c r="D5" s="10"/>
      <c r="E5" s="10"/>
      <c r="F5" s="10"/>
      <c r="G5" s="10"/>
      <c r="H5" s="10"/>
    </row>
    <row r="6" customFormat="false" ht="15" hidden="false" customHeight="false" outlineLevel="0" collapsed="false">
      <c r="A6" s="2" t="s">
        <v>37</v>
      </c>
      <c r="B6" s="11" t="s">
        <v>38</v>
      </c>
      <c r="C6" s="11" t="s">
        <v>39</v>
      </c>
      <c r="D6" s="8" t="n">
        <v>34</v>
      </c>
      <c r="E6" s="8" t="n">
        <v>38</v>
      </c>
      <c r="F6" s="8" t="n">
        <v>44</v>
      </c>
      <c r="G6" s="12" t="n">
        <v>38</v>
      </c>
      <c r="H6" s="2" t="s">
        <v>40</v>
      </c>
    </row>
    <row r="7" customFormat="false" ht="15" hidden="false" customHeight="false" outlineLevel="0" collapsed="false">
      <c r="A7" s="2" t="s">
        <v>41</v>
      </c>
      <c r="B7" s="11" t="s">
        <v>42</v>
      </c>
      <c r="C7" s="11" t="s">
        <v>39</v>
      </c>
      <c r="D7" s="8" t="n">
        <v>205</v>
      </c>
      <c r="E7" s="8" t="n">
        <v>220</v>
      </c>
      <c r="F7" s="8" t="n">
        <v>240</v>
      </c>
      <c r="G7" s="12" t="n">
        <v>220</v>
      </c>
      <c r="H7" s="2" t="s">
        <v>43</v>
      </c>
    </row>
    <row r="8" customFormat="false" ht="15" hidden="false" customHeight="false" outlineLevel="0" collapsed="false">
      <c r="A8" s="2" t="s">
        <v>44</v>
      </c>
      <c r="B8" s="11" t="s">
        <v>45</v>
      </c>
      <c r="C8" s="11" t="s">
        <v>39</v>
      </c>
      <c r="D8" s="8" t="n">
        <v>770</v>
      </c>
      <c r="E8" s="8" t="n">
        <v>790</v>
      </c>
      <c r="F8" s="8" t="n">
        <v>815</v>
      </c>
      <c r="G8" s="12" t="n">
        <v>790</v>
      </c>
      <c r="H8" s="2" t="s">
        <v>46</v>
      </c>
    </row>
    <row r="9" customFormat="false" ht="15" hidden="false" customHeight="false" outlineLevel="0" collapsed="false">
      <c r="A9" s="2" t="s">
        <v>47</v>
      </c>
      <c r="B9" s="11" t="s">
        <v>48</v>
      </c>
      <c r="C9" s="11" t="s">
        <v>49</v>
      </c>
      <c r="D9" s="8" t="n">
        <v>72</v>
      </c>
      <c r="E9" s="8" t="n">
        <v>75</v>
      </c>
      <c r="F9" s="8" t="n">
        <v>80</v>
      </c>
      <c r="G9" s="12" t="n">
        <v>75</v>
      </c>
      <c r="H9" s="2" t="s">
        <v>50</v>
      </c>
    </row>
    <row r="10" customFormat="false" ht="15" hidden="false" customHeight="false" outlineLevel="0" collapsed="false">
      <c r="A10" s="2" t="s">
        <v>51</v>
      </c>
      <c r="B10" s="11" t="s">
        <v>52</v>
      </c>
      <c r="C10" s="11" t="s">
        <v>49</v>
      </c>
      <c r="D10" s="8" t="n">
        <v>57</v>
      </c>
      <c r="E10" s="8" t="n">
        <v>60</v>
      </c>
      <c r="F10" s="8" t="n">
        <v>65</v>
      </c>
      <c r="G10" s="12" t="n">
        <v>60</v>
      </c>
      <c r="H10" s="2" t="s">
        <v>53</v>
      </c>
    </row>
    <row r="11" customFormat="false" ht="15" hidden="false" customHeight="false" outlineLevel="0" collapsed="false">
      <c r="A11" s="2" t="s">
        <v>54</v>
      </c>
      <c r="B11" s="11" t="s">
        <v>55</v>
      </c>
      <c r="C11" s="11" t="s">
        <v>49</v>
      </c>
      <c r="D11" s="8" t="n">
        <v>29</v>
      </c>
      <c r="E11" s="8" t="n">
        <v>30</v>
      </c>
      <c r="F11" s="8" t="n">
        <v>32</v>
      </c>
      <c r="G11" s="12" t="n">
        <v>30</v>
      </c>
      <c r="H11" s="2" t="s">
        <v>56</v>
      </c>
    </row>
    <row r="12" customFormat="false" ht="15" hidden="false" customHeight="false" outlineLevel="0" collapsed="false">
      <c r="A12" s="9" t="s">
        <v>57</v>
      </c>
      <c r="B12" s="10"/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A13" s="2" t="s">
        <v>58</v>
      </c>
      <c r="B13" s="11" t="s">
        <v>59</v>
      </c>
      <c r="C13" s="11" t="s">
        <v>60</v>
      </c>
      <c r="D13" s="13" t="n">
        <v>0.68</v>
      </c>
      <c r="E13" s="13" t="n">
        <v>0.8</v>
      </c>
      <c r="F13" s="13" t="n">
        <v>0.9</v>
      </c>
      <c r="G13" s="14" t="n">
        <v>0.8</v>
      </c>
      <c r="H13" s="2" t="s">
        <v>61</v>
      </c>
    </row>
    <row r="14" customFormat="false" ht="15" hidden="false" customHeight="false" outlineLevel="0" collapsed="false">
      <c r="A14" s="2" t="s">
        <v>62</v>
      </c>
      <c r="B14" s="11" t="s">
        <v>63</v>
      </c>
      <c r="C14" s="11" t="s">
        <v>60</v>
      </c>
      <c r="D14" s="13" t="n">
        <v>0.32</v>
      </c>
      <c r="E14" s="13" t="n">
        <v>0.45</v>
      </c>
      <c r="F14" s="13" t="n">
        <v>0.55</v>
      </c>
      <c r="G14" s="14" t="n">
        <v>0.45</v>
      </c>
      <c r="H14" s="2" t="s">
        <v>64</v>
      </c>
    </row>
    <row r="15" customFormat="false" ht="15" hidden="false" customHeight="false" outlineLevel="0" collapsed="false">
      <c r="A15" s="2" t="s">
        <v>65</v>
      </c>
      <c r="B15" s="11" t="s">
        <v>66</v>
      </c>
      <c r="C15" s="11" t="s">
        <v>60</v>
      </c>
      <c r="D15" s="13" t="n">
        <v>0.14</v>
      </c>
      <c r="E15" s="13" t="n">
        <v>0.25</v>
      </c>
      <c r="F15" s="13" t="n">
        <v>0.38</v>
      </c>
      <c r="G15" s="14" t="n">
        <v>0.25</v>
      </c>
      <c r="H15" s="2" t="s">
        <v>67</v>
      </c>
    </row>
    <row r="16" customFormat="false" ht="15" hidden="false" customHeight="false" outlineLevel="0" collapsed="false">
      <c r="A16" s="9" t="s">
        <v>68</v>
      </c>
      <c r="B16" s="10"/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2" t="s">
        <v>69</v>
      </c>
      <c r="B17" s="11" t="s">
        <v>70</v>
      </c>
      <c r="C17" s="11" t="s">
        <v>60</v>
      </c>
      <c r="D17" s="13" t="n">
        <v>0.07</v>
      </c>
      <c r="E17" s="13" t="n">
        <v>0.13</v>
      </c>
      <c r="F17" s="13" t="n">
        <v>0.16</v>
      </c>
      <c r="G17" s="14" t="n">
        <v>0.13</v>
      </c>
      <c r="H17" s="2" t="s">
        <v>71</v>
      </c>
    </row>
    <row r="18" customFormat="false" ht="15" hidden="false" customHeight="false" outlineLevel="0" collapsed="false">
      <c r="A18" s="2" t="s">
        <v>72</v>
      </c>
      <c r="B18" s="11" t="s">
        <v>73</v>
      </c>
      <c r="C18" s="11" t="s">
        <v>60</v>
      </c>
      <c r="D18" s="13" t="n">
        <v>0.015</v>
      </c>
      <c r="E18" s="13" t="n">
        <v>0.03</v>
      </c>
      <c r="F18" s="13" t="n">
        <v>0.045</v>
      </c>
      <c r="G18" s="14" t="n">
        <v>0.03</v>
      </c>
      <c r="H18" s="2" t="s">
        <v>74</v>
      </c>
    </row>
    <row r="19" customFormat="false" ht="15" hidden="false" customHeight="false" outlineLevel="0" collapsed="false">
      <c r="A19" s="2" t="s">
        <v>75</v>
      </c>
      <c r="B19" s="11" t="s">
        <v>76</v>
      </c>
      <c r="C19" s="11" t="s">
        <v>60</v>
      </c>
      <c r="D19" s="13" t="n">
        <v>0.007</v>
      </c>
      <c r="E19" s="13" t="n">
        <v>0.012</v>
      </c>
      <c r="F19" s="13" t="n">
        <v>0.02</v>
      </c>
      <c r="G19" s="14" t="n">
        <v>0.012</v>
      </c>
      <c r="H19" s="2" t="s">
        <v>77</v>
      </c>
    </row>
    <row r="20" customFormat="false" ht="15" hidden="false" customHeight="false" outlineLevel="0" collapsed="false">
      <c r="A20" s="9" t="s">
        <v>78</v>
      </c>
      <c r="B20" s="10"/>
      <c r="C20" s="10"/>
      <c r="D20" s="10"/>
      <c r="E20" s="10"/>
      <c r="F20" s="10"/>
      <c r="G20" s="10"/>
      <c r="H20" s="10"/>
    </row>
    <row r="21" customFormat="false" ht="15" hidden="false" customHeight="false" outlineLevel="0" collapsed="false">
      <c r="A21" s="2" t="s">
        <v>79</v>
      </c>
      <c r="B21" s="11" t="s">
        <v>80</v>
      </c>
      <c r="C21" s="11" t="s">
        <v>60</v>
      </c>
      <c r="D21" s="13" t="n">
        <v>0.35</v>
      </c>
      <c r="E21" s="13" t="n">
        <v>0.42</v>
      </c>
      <c r="F21" s="13" t="n">
        <v>0.48</v>
      </c>
      <c r="G21" s="14" t="n">
        <v>0.42</v>
      </c>
      <c r="H21" s="2" t="s">
        <v>81</v>
      </c>
    </row>
    <row r="22" customFormat="false" ht="15" hidden="false" customHeight="false" outlineLevel="0" collapsed="false">
      <c r="A22" s="2" t="s">
        <v>82</v>
      </c>
      <c r="B22" s="11" t="s">
        <v>83</v>
      </c>
      <c r="C22" s="11" t="s">
        <v>60</v>
      </c>
      <c r="D22" s="13" t="n">
        <v>0.18</v>
      </c>
      <c r="E22" s="13" t="n">
        <v>0.25</v>
      </c>
      <c r="F22" s="13" t="n">
        <v>0.32</v>
      </c>
      <c r="G22" s="14" t="n">
        <v>0.25</v>
      </c>
      <c r="H22" s="2" t="s">
        <v>84</v>
      </c>
    </row>
    <row r="23" customFormat="false" ht="15" hidden="false" customHeight="false" outlineLevel="0" collapsed="false">
      <c r="A23" s="2" t="s">
        <v>85</v>
      </c>
      <c r="B23" s="11" t="s">
        <v>86</v>
      </c>
      <c r="C23" s="11" t="s">
        <v>60</v>
      </c>
      <c r="D23" s="13" t="n">
        <v>0.13</v>
      </c>
      <c r="E23" s="13" t="n">
        <v>0.2</v>
      </c>
      <c r="F23" s="13" t="n">
        <v>0.24</v>
      </c>
      <c r="G23" s="14" t="n">
        <v>0.2</v>
      </c>
      <c r="H23" s="2" t="s">
        <v>87</v>
      </c>
    </row>
    <row r="24" customFormat="false" ht="15" hidden="false" customHeight="false" outlineLevel="0" collapsed="false">
      <c r="A24" s="2" t="s">
        <v>88</v>
      </c>
      <c r="B24" s="11" t="s">
        <v>89</v>
      </c>
      <c r="C24" s="11" t="s">
        <v>60</v>
      </c>
      <c r="D24" s="13" t="n">
        <v>0.25</v>
      </c>
      <c r="E24" s="13" t="n">
        <v>0.3</v>
      </c>
      <c r="F24" s="13" t="n">
        <v>0.35</v>
      </c>
      <c r="G24" s="14" t="n">
        <v>0.3</v>
      </c>
      <c r="H24" s="2" t="s">
        <v>90</v>
      </c>
    </row>
    <row r="25" customFormat="false" ht="15" hidden="false" customHeight="false" outlineLevel="0" collapsed="false">
      <c r="A25" s="2" t="s">
        <v>91</v>
      </c>
      <c r="B25" s="11" t="s">
        <v>92</v>
      </c>
      <c r="C25" s="11" t="s">
        <v>60</v>
      </c>
      <c r="D25" s="13" t="n">
        <v>0.06</v>
      </c>
      <c r="E25" s="13" t="n">
        <v>0.08</v>
      </c>
      <c r="F25" s="13" t="n">
        <v>0.12</v>
      </c>
      <c r="G25" s="14" t="n">
        <v>0.08</v>
      </c>
      <c r="H25" s="2" t="s">
        <v>93</v>
      </c>
    </row>
    <row r="26" customFormat="false" ht="15" hidden="false" customHeight="false" outlineLevel="0" collapsed="false">
      <c r="A26" s="2" t="s">
        <v>94</v>
      </c>
      <c r="B26" s="11" t="s">
        <v>95</v>
      </c>
      <c r="C26" s="11" t="s">
        <v>60</v>
      </c>
      <c r="D26" s="13" t="n">
        <v>0.2</v>
      </c>
      <c r="E26" s="13" t="n">
        <v>0.25</v>
      </c>
      <c r="F26" s="13" t="n">
        <v>0.3</v>
      </c>
      <c r="G26" s="14" t="n">
        <v>0.25</v>
      </c>
      <c r="H26" s="2" t="s">
        <v>96</v>
      </c>
    </row>
    <row r="27" customFormat="false" ht="15" hidden="false" customHeight="false" outlineLevel="0" collapsed="false">
      <c r="A27" s="9" t="s">
        <v>97</v>
      </c>
      <c r="B27" s="10"/>
      <c r="C27" s="10"/>
      <c r="D27" s="10"/>
      <c r="E27" s="10"/>
      <c r="F27" s="10"/>
      <c r="G27" s="10"/>
      <c r="H27" s="10"/>
    </row>
    <row r="28" customFormat="false" ht="15" hidden="false" customHeight="false" outlineLevel="0" collapsed="false">
      <c r="A28" s="2" t="s">
        <v>98</v>
      </c>
      <c r="B28" s="11" t="s">
        <v>99</v>
      </c>
      <c r="C28" s="11" t="s">
        <v>100</v>
      </c>
      <c r="D28" s="15" t="n">
        <v>7</v>
      </c>
      <c r="E28" s="15" t="n">
        <v>8</v>
      </c>
      <c r="F28" s="15" t="n">
        <v>10</v>
      </c>
      <c r="G28" s="16" t="n">
        <v>8</v>
      </c>
      <c r="H28" s="2" t="s">
        <v>101</v>
      </c>
    </row>
    <row r="29" customFormat="false" ht="15" hidden="false" customHeight="false" outlineLevel="0" collapsed="false">
      <c r="A29" s="2" t="s">
        <v>102</v>
      </c>
      <c r="B29" s="11" t="s">
        <v>103</v>
      </c>
      <c r="C29" s="11" t="s">
        <v>60</v>
      </c>
      <c r="D29" s="13" t="n">
        <v>0.06</v>
      </c>
      <c r="E29" s="13" t="n">
        <v>0.1</v>
      </c>
      <c r="F29" s="13" t="n">
        <v>0.14</v>
      </c>
      <c r="G29" s="14" t="n">
        <v>0.1</v>
      </c>
      <c r="H29" s="2" t="s">
        <v>104</v>
      </c>
    </row>
    <row r="30" customFormat="false" ht="15" hidden="false" customHeight="false" outlineLevel="0" collapsed="false">
      <c r="A30" s="2" t="s">
        <v>105</v>
      </c>
      <c r="B30" s="11" t="s">
        <v>106</v>
      </c>
      <c r="C30" s="11" t="s">
        <v>60</v>
      </c>
      <c r="D30" s="13" t="n">
        <v>0.2</v>
      </c>
      <c r="E30" s="13" t="n">
        <v>0.25</v>
      </c>
      <c r="F30" s="13" t="n">
        <v>0.3</v>
      </c>
      <c r="G30" s="14" t="n">
        <v>0.25</v>
      </c>
      <c r="H30" s="2" t="s">
        <v>107</v>
      </c>
    </row>
    <row r="31" customFormat="false" ht="15" hidden="false" customHeight="false" outlineLevel="0" collapsed="false">
      <c r="A31" s="2" t="s">
        <v>108</v>
      </c>
      <c r="B31" s="11" t="s">
        <v>109</v>
      </c>
      <c r="C31" s="11" t="s">
        <v>60</v>
      </c>
      <c r="D31" s="13" t="n">
        <v>0.3</v>
      </c>
      <c r="E31" s="13" t="n">
        <v>0.38</v>
      </c>
      <c r="F31" s="13" t="n">
        <v>0.4</v>
      </c>
      <c r="G31" s="14" t="n">
        <v>0.38</v>
      </c>
      <c r="H31" s="2" t="s">
        <v>110</v>
      </c>
    </row>
    <row r="32" customFormat="false" ht="15" hidden="false" customHeight="false" outlineLevel="0" collapsed="false">
      <c r="A32" s="2" t="s">
        <v>111</v>
      </c>
      <c r="B32" s="11" t="s">
        <v>112</v>
      </c>
      <c r="C32" s="11" t="s">
        <v>60</v>
      </c>
      <c r="D32" s="13" t="n">
        <v>0.2</v>
      </c>
      <c r="E32" s="13" t="n">
        <v>0.25</v>
      </c>
      <c r="F32" s="13" t="n">
        <v>0.28</v>
      </c>
      <c r="G32" s="14" t="n">
        <v>0.25</v>
      </c>
      <c r="H32" s="2" t="s">
        <v>113</v>
      </c>
    </row>
    <row r="33" customFormat="false" ht="15" hidden="false" customHeight="false" outlineLevel="0" collapsed="false">
      <c r="A33" s="9" t="s">
        <v>114</v>
      </c>
      <c r="B33" s="10"/>
      <c r="C33" s="10"/>
      <c r="D33" s="10"/>
      <c r="E33" s="10"/>
      <c r="F33" s="10"/>
      <c r="G33" s="10"/>
      <c r="H33" s="10"/>
    </row>
    <row r="34" customFormat="false" ht="15" hidden="false" customHeight="false" outlineLevel="0" collapsed="false">
      <c r="A34" s="2" t="s">
        <v>115</v>
      </c>
      <c r="B34" s="11" t="s">
        <v>116</v>
      </c>
      <c r="C34" s="11" t="s">
        <v>39</v>
      </c>
      <c r="D34" s="8" t="n">
        <v>1500</v>
      </c>
      <c r="E34" s="8" t="n">
        <v>2000</v>
      </c>
      <c r="F34" s="8" t="n">
        <v>2500</v>
      </c>
      <c r="G34" s="12" t="n">
        <v>2000</v>
      </c>
      <c r="H34" s="2" t="s">
        <v>117</v>
      </c>
    </row>
    <row r="35" customFormat="false" ht="15" hidden="false" customHeight="false" outlineLevel="0" collapsed="false">
      <c r="A35" s="2" t="s">
        <v>118</v>
      </c>
      <c r="B35" s="11" t="s">
        <v>119</v>
      </c>
      <c r="C35" s="11" t="s">
        <v>60</v>
      </c>
      <c r="D35" s="13" t="n">
        <v>0.045</v>
      </c>
      <c r="E35" s="13" t="n">
        <v>0.06</v>
      </c>
      <c r="F35" s="13" t="n">
        <v>0.09</v>
      </c>
      <c r="G35" s="14" t="n">
        <v>0.06</v>
      </c>
      <c r="H35" s="2" t="s">
        <v>120</v>
      </c>
    </row>
    <row r="36" customFormat="false" ht="15" hidden="false" customHeight="false" outlineLevel="0" collapsed="false">
      <c r="A36" s="2" t="s">
        <v>121</v>
      </c>
      <c r="B36" s="11" t="s">
        <v>122</v>
      </c>
      <c r="C36" s="11" t="s">
        <v>123</v>
      </c>
      <c r="D36" s="17" t="n">
        <v>15</v>
      </c>
      <c r="E36" s="17" t="n">
        <v>18</v>
      </c>
      <c r="F36" s="17" t="n">
        <v>24</v>
      </c>
      <c r="G36" s="18" t="n">
        <v>18</v>
      </c>
      <c r="H36" s="2" t="s">
        <v>124</v>
      </c>
    </row>
    <row r="37" customFormat="false" ht="15" hidden="false" customHeight="false" outlineLevel="0" collapsed="false">
      <c r="A37" s="2" t="s">
        <v>125</v>
      </c>
      <c r="B37" s="11" t="s">
        <v>126</v>
      </c>
      <c r="C37" s="11" t="s">
        <v>127</v>
      </c>
      <c r="D37" s="17" t="n">
        <v>15</v>
      </c>
      <c r="E37" s="17" t="n">
        <v>30</v>
      </c>
      <c r="F37" s="17" t="n">
        <v>55</v>
      </c>
      <c r="G37" s="18" t="n">
        <v>30</v>
      </c>
      <c r="H37" s="2" t="s">
        <v>128</v>
      </c>
    </row>
    <row r="38" customFormat="false" ht="15" hidden="false" customHeight="false" outlineLevel="0" collapsed="false">
      <c r="A38" s="2" t="s">
        <v>129</v>
      </c>
      <c r="B38" s="11" t="s">
        <v>130</v>
      </c>
      <c r="C38" s="11" t="s">
        <v>131</v>
      </c>
      <c r="D38" s="19" t="n">
        <v>100</v>
      </c>
      <c r="E38" s="19" t="n">
        <v>400</v>
      </c>
      <c r="F38" s="19" t="n">
        <v>1000</v>
      </c>
      <c r="G38" s="20" t="n">
        <v>400</v>
      </c>
      <c r="H38" s="2" t="s">
        <v>132</v>
      </c>
    </row>
    <row r="39" customFormat="false" ht="15" hidden="false" customHeight="false" outlineLevel="0" collapsed="false">
      <c r="A39" s="2" t="s">
        <v>133</v>
      </c>
      <c r="B39" s="11" t="s">
        <v>134</v>
      </c>
      <c r="C39" s="11" t="s">
        <v>60</v>
      </c>
      <c r="D39" s="13" t="n">
        <v>0.02</v>
      </c>
      <c r="E39" s="13" t="n">
        <v>0.025</v>
      </c>
      <c r="F39" s="13" t="n">
        <v>0.03</v>
      </c>
      <c r="G39" s="14" t="n">
        <v>0.025</v>
      </c>
      <c r="H39" s="2" t="s">
        <v>135</v>
      </c>
    </row>
    <row r="40" customFormat="false" ht="15" hidden="false" customHeight="false" outlineLevel="0" collapsed="false">
      <c r="A40" s="9" t="s">
        <v>136</v>
      </c>
      <c r="B40" s="10"/>
      <c r="C40" s="10"/>
      <c r="D40" s="10"/>
      <c r="E40" s="10"/>
      <c r="F40" s="10"/>
      <c r="G40" s="10"/>
      <c r="H40" s="10"/>
    </row>
    <row r="41" customFormat="false" ht="15" hidden="false" customHeight="false" outlineLevel="0" collapsed="false">
      <c r="A41" s="2" t="s">
        <v>137</v>
      </c>
      <c r="B41" s="11" t="s">
        <v>138</v>
      </c>
      <c r="C41" s="11" t="s">
        <v>39</v>
      </c>
      <c r="D41" s="8" t="n">
        <v>150</v>
      </c>
      <c r="E41" s="8" t="n">
        <v>250</v>
      </c>
      <c r="F41" s="8" t="n">
        <v>400</v>
      </c>
      <c r="G41" s="12" t="n">
        <v>250</v>
      </c>
      <c r="H41" s="2" t="s">
        <v>139</v>
      </c>
    </row>
    <row r="42" customFormat="false" ht="15" hidden="false" customHeight="false" outlineLevel="0" collapsed="false">
      <c r="A42" s="2" t="s">
        <v>140</v>
      </c>
      <c r="B42" s="11" t="s">
        <v>119</v>
      </c>
      <c r="C42" s="11" t="s">
        <v>60</v>
      </c>
      <c r="D42" s="13" t="n">
        <v>0.08</v>
      </c>
      <c r="E42" s="13" t="n">
        <v>0.1</v>
      </c>
      <c r="F42" s="13" t="n">
        <v>0.13</v>
      </c>
      <c r="G42" s="14" t="n">
        <v>0.1</v>
      </c>
      <c r="H42" s="2" t="s">
        <v>141</v>
      </c>
    </row>
    <row r="43" customFormat="false" ht="15" hidden="false" customHeight="false" outlineLevel="0" collapsed="false">
      <c r="A43" s="2" t="s">
        <v>142</v>
      </c>
      <c r="B43" s="11" t="s">
        <v>122</v>
      </c>
      <c r="C43" s="11" t="s">
        <v>123</v>
      </c>
      <c r="D43" s="17" t="n">
        <v>26</v>
      </c>
      <c r="E43" s="17" t="n">
        <v>32</v>
      </c>
      <c r="F43" s="17" t="n">
        <v>40</v>
      </c>
      <c r="G43" s="18" t="n">
        <v>32</v>
      </c>
      <c r="H43" s="2" t="s">
        <v>143</v>
      </c>
    </row>
    <row r="44" customFormat="false" ht="15" hidden="false" customHeight="false" outlineLevel="0" collapsed="false">
      <c r="A44" s="9" t="s">
        <v>144</v>
      </c>
      <c r="B44" s="10"/>
      <c r="C44" s="10"/>
      <c r="D44" s="10"/>
      <c r="E44" s="10"/>
      <c r="F44" s="10"/>
      <c r="G44" s="10"/>
      <c r="H44" s="10"/>
    </row>
    <row r="45" customFormat="false" ht="15" hidden="false" customHeight="false" outlineLevel="0" collapsed="false">
      <c r="A45" s="2" t="s">
        <v>145</v>
      </c>
      <c r="B45" s="11" t="s">
        <v>146</v>
      </c>
      <c r="C45" s="11" t="s">
        <v>131</v>
      </c>
      <c r="D45" s="19" t="n">
        <v>4</v>
      </c>
      <c r="E45" s="19" t="n">
        <v>10</v>
      </c>
      <c r="F45" s="19" t="n">
        <v>20</v>
      </c>
      <c r="G45" s="20" t="n">
        <v>10</v>
      </c>
      <c r="H45" s="2" t="s">
        <v>147</v>
      </c>
    </row>
    <row r="46" customFormat="false" ht="15" hidden="false" customHeight="false" outlineLevel="0" collapsed="false">
      <c r="A46" s="2" t="s">
        <v>148</v>
      </c>
      <c r="B46" s="11" t="s">
        <v>149</v>
      </c>
      <c r="C46" s="11" t="s">
        <v>131</v>
      </c>
      <c r="D46" s="19" t="n">
        <v>4</v>
      </c>
      <c r="E46" s="19" t="n">
        <v>8</v>
      </c>
      <c r="F46" s="19" t="n">
        <v>15</v>
      </c>
      <c r="G46" s="20" t="n">
        <v>8</v>
      </c>
      <c r="H46" s="2" t="s">
        <v>150</v>
      </c>
    </row>
    <row r="47" customFormat="false" ht="15" hidden="false" customHeight="false" outlineLevel="0" collapsed="false">
      <c r="A47" s="9" t="s">
        <v>151</v>
      </c>
      <c r="B47" s="10"/>
      <c r="C47" s="10"/>
      <c r="D47" s="10"/>
      <c r="E47" s="10"/>
      <c r="F47" s="10"/>
      <c r="G47" s="10"/>
      <c r="H47" s="10"/>
    </row>
    <row r="48" customFormat="false" ht="15" hidden="false" customHeight="false" outlineLevel="0" collapsed="false">
      <c r="A48" s="2" t="s">
        <v>152</v>
      </c>
      <c r="B48" s="11" t="s">
        <v>153</v>
      </c>
      <c r="C48" s="11" t="s">
        <v>154</v>
      </c>
      <c r="D48" s="15" t="n">
        <v>15</v>
      </c>
      <c r="E48" s="15" t="n">
        <v>22</v>
      </c>
      <c r="F48" s="15" t="n">
        <v>30</v>
      </c>
      <c r="G48" s="16" t="n">
        <v>22</v>
      </c>
      <c r="H48" s="2" t="s">
        <v>155</v>
      </c>
    </row>
    <row r="49" customFormat="false" ht="15" hidden="false" customHeight="false" outlineLevel="0" collapsed="false">
      <c r="A49" s="2" t="s">
        <v>156</v>
      </c>
      <c r="B49" s="11" t="s">
        <v>157</v>
      </c>
      <c r="C49" s="11" t="s">
        <v>154</v>
      </c>
      <c r="D49" s="15" t="n">
        <v>10</v>
      </c>
      <c r="E49" s="15" t="n">
        <v>16</v>
      </c>
      <c r="F49" s="15" t="n">
        <v>22</v>
      </c>
      <c r="G49" s="16" t="n">
        <v>16</v>
      </c>
      <c r="H49" s="2" t="s">
        <v>158</v>
      </c>
    </row>
    <row r="50" customFormat="false" ht="15" hidden="false" customHeight="false" outlineLevel="0" collapsed="false">
      <c r="A50" s="2" t="s">
        <v>159</v>
      </c>
      <c r="B50" s="11" t="s">
        <v>160</v>
      </c>
      <c r="C50" s="11" t="s">
        <v>60</v>
      </c>
      <c r="D50" s="13" t="n">
        <v>0.55</v>
      </c>
      <c r="E50" s="13" t="n">
        <v>0.62</v>
      </c>
      <c r="F50" s="13" t="n">
        <v>0.72</v>
      </c>
      <c r="G50" s="14" t="n">
        <v>0.62</v>
      </c>
      <c r="H50" s="2" t="s">
        <v>161</v>
      </c>
    </row>
    <row r="51" customFormat="false" ht="15" hidden="false" customHeight="false" outlineLevel="0" collapsed="false">
      <c r="A51" s="2" t="s">
        <v>162</v>
      </c>
      <c r="B51" s="11" t="s">
        <v>163</v>
      </c>
      <c r="C51" s="11" t="s">
        <v>60</v>
      </c>
      <c r="D51" s="13" t="n">
        <v>0.6</v>
      </c>
      <c r="E51" s="13" t="n">
        <v>0.68</v>
      </c>
      <c r="F51" s="13" t="n">
        <v>0.78</v>
      </c>
      <c r="G51" s="14" t="n">
        <v>0.68</v>
      </c>
      <c r="H51" s="2" t="s">
        <v>164</v>
      </c>
    </row>
    <row r="52" customFormat="false" ht="15" hidden="false" customHeight="false" outlineLevel="0" collapsed="false">
      <c r="A52" s="2" t="s">
        <v>165</v>
      </c>
      <c r="B52" s="11" t="s">
        <v>166</v>
      </c>
      <c r="C52" s="11" t="s">
        <v>167</v>
      </c>
      <c r="D52" s="15" t="n">
        <v>16</v>
      </c>
      <c r="E52" s="15" t="n">
        <v>20</v>
      </c>
      <c r="F52" s="15" t="n">
        <v>32</v>
      </c>
      <c r="G52" s="16" t="n">
        <v>20</v>
      </c>
      <c r="H52" s="2" t="s">
        <v>168</v>
      </c>
    </row>
    <row r="53" customFormat="false" ht="15" hidden="false" customHeight="false" outlineLevel="0" collapsed="false">
      <c r="A53" s="2" t="s">
        <v>169</v>
      </c>
      <c r="B53" s="11" t="s">
        <v>170</v>
      </c>
      <c r="C53" s="11" t="s">
        <v>171</v>
      </c>
      <c r="D53" s="21" t="n">
        <v>1.2</v>
      </c>
      <c r="E53" s="21" t="n">
        <v>1.6</v>
      </c>
      <c r="F53" s="21" t="n">
        <v>2.6</v>
      </c>
      <c r="G53" s="22" t="n">
        <v>1.6</v>
      </c>
      <c r="H53" s="2" t="s">
        <v>172</v>
      </c>
    </row>
    <row r="54" customFormat="false" ht="15" hidden="false" customHeight="false" outlineLevel="0" collapsed="false">
      <c r="A54" s="9" t="s">
        <v>173</v>
      </c>
      <c r="B54" s="10"/>
      <c r="C54" s="10"/>
      <c r="D54" s="10"/>
      <c r="E54" s="10"/>
      <c r="F54" s="10"/>
      <c r="G54" s="10"/>
      <c r="H54" s="10"/>
    </row>
    <row r="55" customFormat="false" ht="15" hidden="false" customHeight="false" outlineLevel="0" collapsed="false">
      <c r="A55" s="2" t="s">
        <v>174</v>
      </c>
      <c r="B55" s="11" t="s">
        <v>175</v>
      </c>
      <c r="C55" s="11" t="s">
        <v>131</v>
      </c>
      <c r="D55" s="19" t="n">
        <v>46</v>
      </c>
      <c r="E55" s="19" t="n">
        <v>50</v>
      </c>
      <c r="F55" s="19" t="n">
        <v>55</v>
      </c>
      <c r="G55" s="20" t="n">
        <v>50</v>
      </c>
      <c r="H55" s="2" t="s">
        <v>176</v>
      </c>
    </row>
    <row r="56" customFormat="false" ht="15" hidden="false" customHeight="false" outlineLevel="0" collapsed="false">
      <c r="A56" s="2" t="s">
        <v>177</v>
      </c>
      <c r="B56" s="11" t="s">
        <v>178</v>
      </c>
      <c r="C56" s="11" t="s">
        <v>131</v>
      </c>
      <c r="D56" s="19" t="n">
        <v>80</v>
      </c>
      <c r="E56" s="19" t="n">
        <v>90</v>
      </c>
      <c r="F56" s="19" t="n">
        <v>100</v>
      </c>
      <c r="G56" s="20" t="n">
        <v>90</v>
      </c>
      <c r="H56" s="2" t="s">
        <v>179</v>
      </c>
    </row>
    <row r="57" customFormat="false" ht="15" hidden="false" customHeight="false" outlineLevel="0" collapsed="false">
      <c r="A57" s="2" t="s">
        <v>180</v>
      </c>
      <c r="B57" s="11" t="s">
        <v>181</v>
      </c>
      <c r="C57" s="11" t="s">
        <v>60</v>
      </c>
      <c r="D57" s="13" t="n">
        <v>0.45</v>
      </c>
      <c r="E57" s="13" t="n">
        <v>0.75</v>
      </c>
      <c r="F57" s="13" t="n">
        <v>0.95</v>
      </c>
      <c r="G57" s="14" t="n">
        <v>0.75</v>
      </c>
      <c r="H57" s="2" t="s">
        <v>182</v>
      </c>
    </row>
    <row r="58" customFormat="false" ht="15" hidden="false" customHeight="false" outlineLevel="0" collapsed="false">
      <c r="A58" s="2" t="s">
        <v>183</v>
      </c>
      <c r="B58" s="11" t="s">
        <v>184</v>
      </c>
      <c r="C58" s="11" t="s">
        <v>60</v>
      </c>
      <c r="D58" s="13" t="n">
        <v>0.3</v>
      </c>
      <c r="E58" s="13" t="n">
        <v>0.6</v>
      </c>
      <c r="F58" s="13" t="n">
        <v>0.75</v>
      </c>
      <c r="G58" s="14" t="n">
        <v>0.6</v>
      </c>
      <c r="H58" s="2"/>
    </row>
    <row r="59" customFormat="false" ht="15" hidden="false" customHeight="false" outlineLevel="0" collapsed="false">
      <c r="A59" s="2" t="s">
        <v>185</v>
      </c>
      <c r="B59" s="11" t="s">
        <v>186</v>
      </c>
      <c r="C59" s="11" t="s">
        <v>60</v>
      </c>
      <c r="D59" s="13" t="n">
        <v>0.2</v>
      </c>
      <c r="E59" s="13" t="n">
        <v>0.45</v>
      </c>
      <c r="F59" s="13" t="n">
        <v>0.55</v>
      </c>
      <c r="G59" s="14" t="n">
        <v>0.45</v>
      </c>
      <c r="H59" s="2"/>
    </row>
    <row r="60" customFormat="false" ht="15" hidden="false" customHeight="false" outlineLevel="0" collapsed="false">
      <c r="A60" s="2" t="s">
        <v>187</v>
      </c>
      <c r="B60" s="11" t="s">
        <v>188</v>
      </c>
      <c r="C60" s="11" t="s">
        <v>60</v>
      </c>
      <c r="D60" s="13" t="n">
        <v>0.12</v>
      </c>
      <c r="E60" s="13" t="n">
        <v>0.35</v>
      </c>
      <c r="F60" s="13" t="n">
        <v>0.4</v>
      </c>
      <c r="G60" s="14" t="n">
        <v>0.35</v>
      </c>
      <c r="H60" s="2"/>
    </row>
    <row r="61" customFormat="false" ht="15" hidden="false" customHeight="false" outlineLevel="0" collapsed="false">
      <c r="A61" s="2" t="s">
        <v>189</v>
      </c>
      <c r="B61" s="11" t="s">
        <v>190</v>
      </c>
      <c r="C61" s="11" t="s">
        <v>60</v>
      </c>
      <c r="D61" s="13" t="n">
        <v>0.4</v>
      </c>
      <c r="E61" s="13" t="n">
        <v>0.7</v>
      </c>
      <c r="F61" s="13" t="n">
        <v>1</v>
      </c>
      <c r="G61" s="14" t="n">
        <v>0.7</v>
      </c>
      <c r="H61" s="2" t="s">
        <v>191</v>
      </c>
    </row>
    <row r="62" customFormat="false" ht="15" hidden="false" customHeight="false" outlineLevel="0" collapsed="false">
      <c r="A62" s="2" t="s">
        <v>192</v>
      </c>
      <c r="B62" s="11" t="s">
        <v>193</v>
      </c>
      <c r="C62" s="11" t="s">
        <v>60</v>
      </c>
      <c r="D62" s="13" t="n">
        <v>0.22</v>
      </c>
      <c r="E62" s="13" t="n">
        <v>0.45</v>
      </c>
      <c r="F62" s="13" t="n">
        <v>0.6</v>
      </c>
      <c r="G62" s="14" t="n">
        <v>0.45</v>
      </c>
      <c r="H62" s="2" t="s">
        <v>194</v>
      </c>
    </row>
    <row r="63" customFormat="false" ht="15" hidden="false" customHeight="false" outlineLevel="0" collapsed="false">
      <c r="A63" s="2" t="s">
        <v>195</v>
      </c>
      <c r="B63" s="11" t="s">
        <v>196</v>
      </c>
      <c r="C63" s="11" t="s">
        <v>60</v>
      </c>
      <c r="D63" s="13" t="n">
        <v>0.12</v>
      </c>
      <c r="E63" s="13" t="n">
        <v>0.3</v>
      </c>
      <c r="F63" s="13" t="n">
        <v>0.4</v>
      </c>
      <c r="G63" s="14" t="n">
        <v>0.3</v>
      </c>
      <c r="H63" s="2"/>
    </row>
    <row r="64" customFormat="false" ht="15" hidden="false" customHeight="false" outlineLevel="0" collapsed="false">
      <c r="A64" s="2" t="s">
        <v>197</v>
      </c>
      <c r="B64" s="11" t="s">
        <v>198</v>
      </c>
      <c r="C64" s="11" t="s">
        <v>60</v>
      </c>
      <c r="D64" s="13" t="n">
        <v>0.06</v>
      </c>
      <c r="E64" s="13" t="n">
        <v>0.2</v>
      </c>
      <c r="F64" s="13" t="n">
        <v>0.3</v>
      </c>
      <c r="G64" s="14" t="n">
        <v>0.2</v>
      </c>
      <c r="H6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6" min="3" style="0" width="12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4" customFormat="false" ht="15" hidden="false" customHeight="false" outlineLevel="0" collapsed="false">
      <c r="A4" s="3" t="s">
        <v>201</v>
      </c>
      <c r="B4" s="3" t="s">
        <v>33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202</v>
      </c>
    </row>
    <row r="5" customFormat="false" ht="15" hidden="false" customHeight="false" outlineLevel="0" collapsed="false">
      <c r="A5" s="9" t="s">
        <v>203</v>
      </c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11" t="s">
        <v>204</v>
      </c>
      <c r="B6" s="11" t="s">
        <v>127</v>
      </c>
      <c r="C6" s="23" t="n">
        <f aca="false">Inputs!$D$9*Inputs!$D$17*1000</f>
        <v>5040</v>
      </c>
      <c r="D6" s="23" t="n">
        <f aca="false">Inputs!$E$9*Inputs!$E$17*1000</f>
        <v>9750</v>
      </c>
      <c r="E6" s="23" t="n">
        <f aca="false">Inputs!$F$9*Inputs!$F$17*1000</f>
        <v>12800</v>
      </c>
      <c r="F6" s="23" t="n">
        <f aca="false">Inputs!$G$9*Inputs!$G$17*1000</f>
        <v>9750</v>
      </c>
      <c r="G6" s="2" t="s">
        <v>205</v>
      </c>
    </row>
    <row r="7" customFormat="false" ht="15" hidden="false" customHeight="false" outlineLevel="0" collapsed="false">
      <c r="A7" s="11" t="s">
        <v>206</v>
      </c>
      <c r="B7" s="11" t="s">
        <v>127</v>
      </c>
      <c r="C7" s="23" t="n">
        <f aca="false">Inputs!$D$10*Inputs!$D$18*1000</f>
        <v>855</v>
      </c>
      <c r="D7" s="23" t="n">
        <f aca="false">Inputs!$E$10*Inputs!$E$18*1000</f>
        <v>1800</v>
      </c>
      <c r="E7" s="23" t="n">
        <f aca="false">Inputs!$F$10*Inputs!$F$18*1000</f>
        <v>2925</v>
      </c>
      <c r="F7" s="23" t="n">
        <f aca="false">Inputs!$G$10*Inputs!$G$18*1000</f>
        <v>1800</v>
      </c>
      <c r="G7" s="2"/>
    </row>
    <row r="8" customFormat="false" ht="15" hidden="false" customHeight="false" outlineLevel="0" collapsed="false">
      <c r="A8" s="11" t="s">
        <v>207</v>
      </c>
      <c r="B8" s="11" t="s">
        <v>127</v>
      </c>
      <c r="C8" s="23" t="n">
        <f aca="false">Inputs!$D$11*Inputs!$D$19*1000</f>
        <v>203</v>
      </c>
      <c r="D8" s="23" t="n">
        <f aca="false">Inputs!$E$11*Inputs!$E$19*1000</f>
        <v>360</v>
      </c>
      <c r="E8" s="23" t="n">
        <f aca="false">Inputs!$F$11*Inputs!$F$19*1000</f>
        <v>640</v>
      </c>
      <c r="F8" s="23" t="n">
        <f aca="false">Inputs!$G$11*Inputs!$G$19*1000</f>
        <v>360</v>
      </c>
      <c r="G8" s="2"/>
    </row>
    <row r="9" customFormat="false" ht="15" hidden="false" customHeight="false" outlineLevel="0" collapsed="false">
      <c r="A9" s="11" t="s">
        <v>208</v>
      </c>
      <c r="B9" s="11" t="s">
        <v>209</v>
      </c>
      <c r="C9" s="24" t="n">
        <f aca="false">Inputs!$D$6*Inputs!$D$13</f>
        <v>23.12</v>
      </c>
      <c r="D9" s="24" t="n">
        <f aca="false">Inputs!$E$6*Inputs!$E$13</f>
        <v>30.4</v>
      </c>
      <c r="E9" s="24" t="n">
        <f aca="false">Inputs!$F$6*Inputs!$F$13</f>
        <v>39.6</v>
      </c>
      <c r="F9" s="24" t="n">
        <f aca="false">Inputs!$G$6*Inputs!$G$13</f>
        <v>30.4</v>
      </c>
      <c r="G9" s="2" t="s">
        <v>210</v>
      </c>
    </row>
    <row r="10" customFormat="false" ht="15" hidden="false" customHeight="false" outlineLevel="0" collapsed="false">
      <c r="A10" s="11" t="s">
        <v>211</v>
      </c>
      <c r="B10" s="11" t="s">
        <v>209</v>
      </c>
      <c r="C10" s="24" t="n">
        <f aca="false">Inputs!$D$7*Inputs!$D$14</f>
        <v>65.6</v>
      </c>
      <c r="D10" s="24" t="n">
        <f aca="false">Inputs!$E$7*Inputs!$E$14</f>
        <v>99</v>
      </c>
      <c r="E10" s="24" t="n">
        <f aca="false">Inputs!$F$7*Inputs!$F$14</f>
        <v>132</v>
      </c>
      <c r="F10" s="24" t="n">
        <f aca="false">Inputs!$G$7*Inputs!$G$14</f>
        <v>99</v>
      </c>
      <c r="G10" s="2"/>
    </row>
    <row r="11" customFormat="false" ht="15" hidden="false" customHeight="false" outlineLevel="0" collapsed="false">
      <c r="A11" s="11" t="s">
        <v>212</v>
      </c>
      <c r="B11" s="11" t="s">
        <v>209</v>
      </c>
      <c r="C11" s="24" t="n">
        <f aca="false">Inputs!$D$8*Inputs!$D$15</f>
        <v>107.8</v>
      </c>
      <c r="D11" s="24" t="n">
        <f aca="false">Inputs!$E$8*Inputs!$E$15</f>
        <v>197.5</v>
      </c>
      <c r="E11" s="24" t="n">
        <f aca="false">Inputs!$F$8*Inputs!$F$15</f>
        <v>309.7</v>
      </c>
      <c r="F11" s="24" t="n">
        <f aca="false">Inputs!$G$8*Inputs!$G$15</f>
        <v>197.5</v>
      </c>
      <c r="G11" s="2"/>
    </row>
    <row r="12" customFormat="false" ht="15" hidden="false" customHeight="false" outlineLevel="0" collapsed="false">
      <c r="A12" s="11" t="s">
        <v>213</v>
      </c>
      <c r="B12" s="11" t="s">
        <v>131</v>
      </c>
      <c r="C12" s="25" t="n">
        <f aca="false">C9*C6/1000</f>
        <v>116.5248</v>
      </c>
      <c r="D12" s="25" t="n">
        <f aca="false">D9*D6/1000</f>
        <v>296.4</v>
      </c>
      <c r="E12" s="25" t="n">
        <f aca="false">E9*E6/1000</f>
        <v>506.88</v>
      </c>
      <c r="F12" s="25" t="n">
        <f aca="false">F9*F6/1000</f>
        <v>296.4</v>
      </c>
      <c r="G12" s="2" t="s">
        <v>214</v>
      </c>
    </row>
    <row r="13" customFormat="false" ht="15" hidden="false" customHeight="false" outlineLevel="0" collapsed="false">
      <c r="A13" s="11" t="s">
        <v>215</v>
      </c>
      <c r="B13" s="11" t="s">
        <v>131</v>
      </c>
      <c r="C13" s="25" t="n">
        <f aca="false">C10*C7/1000</f>
        <v>56.088</v>
      </c>
      <c r="D13" s="25" t="n">
        <f aca="false">D10*D7/1000</f>
        <v>178.2</v>
      </c>
      <c r="E13" s="25" t="n">
        <f aca="false">E10*E7/1000</f>
        <v>386.1</v>
      </c>
      <c r="F13" s="25" t="n">
        <f aca="false">F10*F7/1000</f>
        <v>178.2</v>
      </c>
      <c r="G13" s="2"/>
    </row>
    <row r="14" customFormat="false" ht="15" hidden="false" customHeight="false" outlineLevel="0" collapsed="false">
      <c r="A14" s="11" t="s">
        <v>216</v>
      </c>
      <c r="B14" s="11" t="s">
        <v>131</v>
      </c>
      <c r="C14" s="25" t="n">
        <f aca="false">C11*C8/1000</f>
        <v>21.8834</v>
      </c>
      <c r="D14" s="25" t="n">
        <f aca="false">D11*D8/1000</f>
        <v>71.1</v>
      </c>
      <c r="E14" s="25" t="n">
        <f aca="false">E11*E8/1000</f>
        <v>198.208</v>
      </c>
      <c r="F14" s="25" t="n">
        <f aca="false">F11*F8/1000</f>
        <v>71.1</v>
      </c>
      <c r="G14" s="2"/>
    </row>
    <row r="15" customFormat="false" ht="15" hidden="false" customHeight="false" outlineLevel="0" collapsed="false">
      <c r="A15" s="11" t="s">
        <v>217</v>
      </c>
      <c r="B15" s="11" t="s">
        <v>131</v>
      </c>
      <c r="C15" s="5" t="n">
        <f aca="false">Inputs!$D$28*Inputs!$D$29*Inputs!$D$30*1000</f>
        <v>84</v>
      </c>
      <c r="D15" s="5" t="n">
        <f aca="false">Inputs!$E$28*Inputs!$E$29*Inputs!$E$30*1000</f>
        <v>200</v>
      </c>
      <c r="E15" s="5" t="n">
        <f aca="false">Inputs!$F$28*Inputs!$F$29*Inputs!$F$30*1000</f>
        <v>420</v>
      </c>
      <c r="F15" s="5" t="n">
        <f aca="false">Inputs!$G$28*Inputs!$G$29*Inputs!$G$30*1000</f>
        <v>200</v>
      </c>
      <c r="G15" s="2" t="s">
        <v>218</v>
      </c>
    </row>
    <row r="16" customFormat="false" ht="15" hidden="false" customHeight="false" outlineLevel="0" collapsed="false">
      <c r="A16" s="6" t="s">
        <v>219</v>
      </c>
      <c r="B16" s="11" t="s">
        <v>131</v>
      </c>
      <c r="C16" s="26" t="n">
        <f aca="false">SUM(C12:C15)</f>
        <v>278.4962</v>
      </c>
      <c r="D16" s="26" t="n">
        <f aca="false">SUM(D12:D15)</f>
        <v>745.7</v>
      </c>
      <c r="E16" s="26" t="n">
        <f aca="false">SUM(E12:E15)</f>
        <v>1511.188</v>
      </c>
      <c r="F16" s="26" t="n">
        <f aca="false">SUM(F12:F15)</f>
        <v>745.7</v>
      </c>
      <c r="G16" s="2"/>
    </row>
    <row r="18" customFormat="false" ht="15" hidden="false" customHeight="false" outlineLevel="0" collapsed="false">
      <c r="A18" s="9" t="s">
        <v>220</v>
      </c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1" t="s">
        <v>221</v>
      </c>
      <c r="B19" s="11" t="s">
        <v>131</v>
      </c>
      <c r="C19" s="5" t="n">
        <f aca="false">C12*Inputs!$D$22</f>
        <v>20.974464</v>
      </c>
      <c r="D19" s="5" t="n">
        <f aca="false">D12*Inputs!$E$22</f>
        <v>74.1</v>
      </c>
      <c r="E19" s="5" t="n">
        <f aca="false">E12*Inputs!$F$22</f>
        <v>162.2016</v>
      </c>
      <c r="F19" s="5" t="n">
        <f aca="false">F12*Inputs!$G$22</f>
        <v>74.1</v>
      </c>
      <c r="G19" s="2" t="s">
        <v>222</v>
      </c>
    </row>
    <row r="20" customFormat="false" ht="15" hidden="false" customHeight="false" outlineLevel="0" collapsed="false">
      <c r="A20" s="11" t="s">
        <v>223</v>
      </c>
      <c r="B20" s="11" t="s">
        <v>131</v>
      </c>
      <c r="C20" s="5" t="n">
        <f aca="false">C13*Inputs!$D$24</f>
        <v>14.022</v>
      </c>
      <c r="D20" s="5" t="n">
        <f aca="false">D13*Inputs!$E$24</f>
        <v>53.46</v>
      </c>
      <c r="E20" s="5" t="n">
        <f aca="false">E13*Inputs!$F$24</f>
        <v>135.135</v>
      </c>
      <c r="F20" s="5" t="n">
        <f aca="false">F13*Inputs!$G$24</f>
        <v>53.46</v>
      </c>
      <c r="G20" s="2"/>
    </row>
    <row r="21" customFormat="false" ht="15" hidden="false" customHeight="false" outlineLevel="0" collapsed="false">
      <c r="A21" s="11" t="s">
        <v>224</v>
      </c>
      <c r="B21" s="11" t="s">
        <v>131</v>
      </c>
      <c r="C21" s="5" t="n">
        <f aca="false">C14*Inputs!$D$26</f>
        <v>4.37668</v>
      </c>
      <c r="D21" s="5" t="n">
        <f aca="false">D14*Inputs!$E$26</f>
        <v>17.775</v>
      </c>
      <c r="E21" s="5" t="n">
        <f aca="false">E14*Inputs!$F$26</f>
        <v>59.4624</v>
      </c>
      <c r="F21" s="5" t="n">
        <f aca="false">F14*Inputs!$G$26</f>
        <v>17.775</v>
      </c>
      <c r="G21" s="2"/>
    </row>
    <row r="22" customFormat="false" ht="15" hidden="false" customHeight="false" outlineLevel="0" collapsed="false">
      <c r="A22" s="11" t="s">
        <v>225</v>
      </c>
      <c r="B22" s="11" t="s">
        <v>131</v>
      </c>
      <c r="C22" s="5" t="n">
        <f aca="false">C15*Inputs!$D$32</f>
        <v>16.8</v>
      </c>
      <c r="D22" s="5" t="n">
        <f aca="false">D15*Inputs!$E$32</f>
        <v>50</v>
      </c>
      <c r="E22" s="5" t="n">
        <f aca="false">E15*Inputs!$F$32</f>
        <v>117.6</v>
      </c>
      <c r="F22" s="5" t="n">
        <f aca="false">F15*Inputs!$G$32</f>
        <v>50</v>
      </c>
      <c r="G22" s="2"/>
    </row>
    <row r="23" customFormat="false" ht="15" hidden="false" customHeight="false" outlineLevel="0" collapsed="false">
      <c r="A23" s="11" t="s">
        <v>226</v>
      </c>
      <c r="B23" s="11" t="s">
        <v>131</v>
      </c>
      <c r="C23" s="5" t="n">
        <f aca="false">Inputs!$D$34*Inputs!$D$35*Inputs!$D$36*12/1000</f>
        <v>12.15</v>
      </c>
      <c r="D23" s="5" t="n">
        <f aca="false">Inputs!$E$34*Inputs!$E$35*Inputs!$E$36*12/1000</f>
        <v>25.92</v>
      </c>
      <c r="E23" s="5" t="n">
        <f aca="false">Inputs!$F$34*Inputs!$F$35*Inputs!$F$36*12/1000</f>
        <v>64.8</v>
      </c>
      <c r="F23" s="5" t="n">
        <f aca="false">Inputs!$G$34*Inputs!$G$35*Inputs!$G$36*12/1000</f>
        <v>25.92</v>
      </c>
      <c r="G23" s="2" t="s">
        <v>227</v>
      </c>
    </row>
    <row r="24" customFormat="false" ht="15" hidden="false" customHeight="false" outlineLevel="0" collapsed="false">
      <c r="A24" s="11" t="s">
        <v>228</v>
      </c>
      <c r="B24" s="11" t="s">
        <v>131</v>
      </c>
      <c r="C24" s="5" t="n">
        <f aca="false">Inputs!$D$34*(1-Inputs!$D$35)*Inputs!$D$37/1000</f>
        <v>21.4875</v>
      </c>
      <c r="D24" s="5" t="n">
        <f aca="false">Inputs!$E$34*(1-Inputs!$E$35)*Inputs!$E$37/1000</f>
        <v>56.4</v>
      </c>
      <c r="E24" s="5" t="n">
        <f aca="false">Inputs!$F$34*(1-Inputs!$F$35)*Inputs!$F$37/1000</f>
        <v>125.125</v>
      </c>
      <c r="F24" s="5" t="n">
        <f aca="false">Inputs!$G$34*(1-Inputs!$G$35)*Inputs!$G$37/1000</f>
        <v>56.4</v>
      </c>
      <c r="G24" s="2" t="s">
        <v>229</v>
      </c>
    </row>
    <row r="25" customFormat="false" ht="15" hidden="false" customHeight="false" outlineLevel="0" collapsed="false">
      <c r="A25" s="11" t="s">
        <v>230</v>
      </c>
      <c r="B25" s="11" t="s">
        <v>131</v>
      </c>
      <c r="C25" s="5" t="n">
        <f aca="false">Inputs!$D$38*Inputs!$D$39</f>
        <v>2</v>
      </c>
      <c r="D25" s="5" t="n">
        <f aca="false">Inputs!$E$38*Inputs!$E$39</f>
        <v>10</v>
      </c>
      <c r="E25" s="5" t="n">
        <f aca="false">Inputs!$F$38*Inputs!$F$39</f>
        <v>30</v>
      </c>
      <c r="F25" s="5" t="n">
        <f aca="false">Inputs!$G$38*Inputs!$G$39</f>
        <v>10</v>
      </c>
      <c r="G25" s="2" t="s">
        <v>231</v>
      </c>
    </row>
    <row r="26" customFormat="false" ht="15" hidden="false" customHeight="false" outlineLevel="0" collapsed="false">
      <c r="A26" s="11" t="s">
        <v>144</v>
      </c>
      <c r="B26" s="11" t="s">
        <v>131</v>
      </c>
      <c r="C26" s="5" t="n">
        <f aca="false">Inputs!$D$45</f>
        <v>4</v>
      </c>
      <c r="D26" s="5" t="n">
        <f aca="false">Inputs!$E$45</f>
        <v>10</v>
      </c>
      <c r="E26" s="5" t="n">
        <f aca="false">Inputs!$F$45</f>
        <v>20</v>
      </c>
      <c r="F26" s="5" t="n">
        <f aca="false">Inputs!$G$45</f>
        <v>10</v>
      </c>
      <c r="G26" s="2"/>
    </row>
    <row r="27" customFormat="false" ht="15" hidden="false" customHeight="false" outlineLevel="0" collapsed="false">
      <c r="A27" s="6" t="s">
        <v>232</v>
      </c>
      <c r="B27" s="11" t="s">
        <v>131</v>
      </c>
      <c r="C27" s="26" t="n">
        <f aca="false">SUM(C19:C26)</f>
        <v>95.810644</v>
      </c>
      <c r="D27" s="26" t="n">
        <f aca="false">SUM(D19:D26)</f>
        <v>297.655</v>
      </c>
      <c r="E27" s="26" t="n">
        <f aca="false">SUM(E19:E26)</f>
        <v>714.324</v>
      </c>
      <c r="F27" s="26" t="n">
        <f aca="false">SUM(F19:F26)</f>
        <v>297.655</v>
      </c>
      <c r="G27" s="2"/>
    </row>
    <row r="28" customFormat="false" ht="15" hidden="false" customHeight="false" outlineLevel="0" collapsed="false">
      <c r="A28" s="11" t="s">
        <v>233</v>
      </c>
      <c r="B28" s="11" t="s">
        <v>131</v>
      </c>
      <c r="C28" s="25" t="n">
        <f aca="false">SUM(C19:C22)</f>
        <v>56.173144</v>
      </c>
      <c r="D28" s="25" t="n">
        <f aca="false">SUM(D19:D22)</f>
        <v>195.335</v>
      </c>
      <c r="E28" s="25" t="n">
        <f aca="false">SUM(E19:E22)</f>
        <v>474.399</v>
      </c>
      <c r="F28" s="25" t="n">
        <f aca="false">SUM(F19:F22)</f>
        <v>195.335</v>
      </c>
      <c r="G28" s="2"/>
    </row>
    <row r="29" customFormat="false" ht="15" hidden="false" customHeight="false" outlineLevel="0" collapsed="false">
      <c r="A29" s="11" t="s">
        <v>234</v>
      </c>
      <c r="B29" s="11" t="s">
        <v>131</v>
      </c>
      <c r="C29" s="25" t="n">
        <f aca="false">SUM(C23:C25)</f>
        <v>35.6375</v>
      </c>
      <c r="D29" s="25" t="n">
        <f aca="false">SUM(D23:D25)</f>
        <v>92.32</v>
      </c>
      <c r="E29" s="25" t="n">
        <f aca="false">SUM(E23:E25)</f>
        <v>219.925</v>
      </c>
      <c r="F29" s="25" t="n">
        <f aca="false">SUM(F23:F25)</f>
        <v>92.32</v>
      </c>
      <c r="G29" s="2"/>
    </row>
    <row r="30" customFormat="false" ht="15" hidden="false" customHeight="false" outlineLevel="0" collapsed="false">
      <c r="A30" s="11" t="s">
        <v>235</v>
      </c>
      <c r="B30" s="11" t="s">
        <v>60</v>
      </c>
      <c r="C30" s="27" t="n">
        <f aca="false">IF(C27=0,0,C28/C27)</f>
        <v>0.586293355882255</v>
      </c>
      <c r="D30" s="27" t="n">
        <f aca="false">IF(D27=0,0,D28/D27)</f>
        <v>0.656246325443886</v>
      </c>
      <c r="E30" s="27" t="n">
        <f aca="false">IF(E27=0,0,E28/E27)</f>
        <v>0.664123003007039</v>
      </c>
      <c r="F30" s="27" t="n">
        <f aca="false">IF(F27=0,0,F28/F27)</f>
        <v>0.656246325443886</v>
      </c>
      <c r="G30" s="2"/>
    </row>
    <row r="32" customFormat="false" ht="15" hidden="false" customHeight="false" outlineLevel="0" collapsed="false">
      <c r="A32" s="9" t="s">
        <v>236</v>
      </c>
      <c r="B32" s="10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11" t="s">
        <v>237</v>
      </c>
      <c r="B33" s="11" t="s">
        <v>154</v>
      </c>
      <c r="C33" s="28" t="n">
        <f aca="false">Inputs!$D$48</f>
        <v>15</v>
      </c>
      <c r="D33" s="28" t="n">
        <f aca="false">Inputs!$E$48</f>
        <v>22</v>
      </c>
      <c r="E33" s="28" t="n">
        <f aca="false">Inputs!$F$48</f>
        <v>30</v>
      </c>
      <c r="F33" s="28" t="n">
        <f aca="false">Inputs!$G$48</f>
        <v>22</v>
      </c>
      <c r="G33" s="2"/>
    </row>
    <row r="34" customFormat="false" ht="15" hidden="false" customHeight="false" outlineLevel="0" collapsed="false">
      <c r="A34" s="11" t="s">
        <v>238</v>
      </c>
      <c r="B34" s="11" t="s">
        <v>239</v>
      </c>
      <c r="C34" s="5" t="n">
        <f aca="false">Inputs!$D$52*Inputs!$D$53*Inputs!$D$51</f>
        <v>11.52</v>
      </c>
      <c r="D34" s="5" t="n">
        <f aca="false">Inputs!$E$52*Inputs!$E$53*Inputs!$E$51</f>
        <v>21.76</v>
      </c>
      <c r="E34" s="5" t="n">
        <f aca="false">Inputs!$F$52*Inputs!$F$53*Inputs!$F$51</f>
        <v>64.896</v>
      </c>
      <c r="F34" s="5" t="n">
        <f aca="false">Inputs!$G$52*Inputs!$G$53*Inputs!$G$51</f>
        <v>21.76</v>
      </c>
      <c r="G34" s="2" t="s">
        <v>240</v>
      </c>
    </row>
    <row r="35" customFormat="false" ht="15" hidden="false" customHeight="false" outlineLevel="0" collapsed="false">
      <c r="A35" s="11" t="s">
        <v>241</v>
      </c>
      <c r="B35" s="11" t="s">
        <v>239</v>
      </c>
      <c r="C35" s="5" t="n">
        <f aca="false">C34*Inputs!$D$50</f>
        <v>6.336</v>
      </c>
      <c r="D35" s="5" t="n">
        <f aca="false">D34*Inputs!$E$50</f>
        <v>13.4912</v>
      </c>
      <c r="E35" s="5" t="n">
        <f aca="false">E34*Inputs!$F$50</f>
        <v>46.72512</v>
      </c>
      <c r="F35" s="5" t="n">
        <f aca="false">F34*Inputs!$G$50</f>
        <v>13.4912</v>
      </c>
      <c r="G35" s="2" t="s">
        <v>242</v>
      </c>
    </row>
    <row r="36" customFormat="false" ht="15" hidden="false" customHeight="false" outlineLevel="0" collapsed="false">
      <c r="A36" s="6" t="s">
        <v>243</v>
      </c>
      <c r="B36" s="11" t="s">
        <v>131</v>
      </c>
      <c r="C36" s="26" t="n">
        <f aca="false">C33*C35</f>
        <v>95.04</v>
      </c>
      <c r="D36" s="26" t="n">
        <f aca="false">D33*D35</f>
        <v>296.8064</v>
      </c>
      <c r="E36" s="26" t="n">
        <f aca="false">E33*E35</f>
        <v>1401.7536</v>
      </c>
      <c r="F36" s="26" t="n">
        <f aca="false">F33*F35</f>
        <v>296.8064</v>
      </c>
      <c r="G36" s="2" t="s">
        <v>244</v>
      </c>
    </row>
    <row r="37" customFormat="false" ht="15" hidden="false" customHeight="false" outlineLevel="0" collapsed="false">
      <c r="A37" s="11" t="s">
        <v>245</v>
      </c>
      <c r="B37" s="11" t="s">
        <v>131</v>
      </c>
      <c r="C37" s="25" t="n">
        <f aca="false">C27</f>
        <v>95.810644</v>
      </c>
      <c r="D37" s="25" t="n">
        <f aca="false">D27</f>
        <v>297.655</v>
      </c>
      <c r="E37" s="25" t="n">
        <f aca="false">E27</f>
        <v>714.324</v>
      </c>
      <c r="F37" s="25" t="n">
        <f aca="false">F27</f>
        <v>297.655</v>
      </c>
      <c r="G37" s="2"/>
    </row>
    <row r="38" customFormat="false" ht="15" hidden="false" customHeight="false" outlineLevel="0" collapsed="false">
      <c r="A38" s="11" t="s">
        <v>246</v>
      </c>
      <c r="B38" s="11" t="s">
        <v>247</v>
      </c>
      <c r="C38" s="29" t="n">
        <f aca="false">IF(C36=0,0,C37/C36)</f>
        <v>1.00810862794613</v>
      </c>
      <c r="D38" s="29" t="n">
        <f aca="false">IF(D36=0,0,D37/D36)</f>
        <v>1.00285910276867</v>
      </c>
      <c r="E38" s="29" t="n">
        <f aca="false">IF(E36=0,0,E37/E36)</f>
        <v>0.509593126780627</v>
      </c>
      <c r="F38" s="29" t="n">
        <f aca="false">IF(F36=0,0,F37/F36)</f>
        <v>1.00285910276867</v>
      </c>
      <c r="G38" s="2" t="s">
        <v>248</v>
      </c>
    </row>
    <row r="39" customFormat="false" ht="15" hidden="false" customHeight="false" outlineLevel="0" collapsed="false">
      <c r="A39" s="11" t="s">
        <v>249</v>
      </c>
      <c r="B39" s="11" t="s">
        <v>154</v>
      </c>
      <c r="C39" s="30" t="n">
        <f aca="false">IF(C35=0,0,C37/C35)</f>
        <v>15.1216294191919</v>
      </c>
      <c r="D39" s="30" t="n">
        <f aca="false">IF(D35=0,0,D37/D35)</f>
        <v>22.0629002609108</v>
      </c>
      <c r="E39" s="30" t="n">
        <f aca="false">IF(E35=0,0,E37/E35)</f>
        <v>15.2877938034188</v>
      </c>
      <c r="F39" s="30" t="n">
        <f aca="false">IF(F35=0,0,F37/F35)</f>
        <v>22.0629002609108</v>
      </c>
      <c r="G39" s="2"/>
    </row>
    <row r="40" customFormat="false" ht="15" hidden="false" customHeight="false" outlineLevel="0" collapsed="false">
      <c r="A40" s="11" t="s">
        <v>250</v>
      </c>
      <c r="B40" s="11" t="s">
        <v>239</v>
      </c>
      <c r="C40" s="25" t="n">
        <f aca="false">IF(C33=0,0,C37/C33)</f>
        <v>6.38737626666667</v>
      </c>
      <c r="D40" s="25" t="n">
        <f aca="false">IF(D33=0,0,D37/D33)</f>
        <v>13.5297727272727</v>
      </c>
      <c r="E40" s="25" t="n">
        <f aca="false">IF(E33=0,0,E37/E33)</f>
        <v>23.8108</v>
      </c>
      <c r="F40" s="25" t="n">
        <f aca="false">IF(F33=0,0,F37/F33)</f>
        <v>13.5297727272727</v>
      </c>
      <c r="G40" s="2"/>
    </row>
    <row r="42" customFormat="false" ht="15" hidden="false" customHeight="false" outlineLevel="0" collapsed="false">
      <c r="A42" s="9" t="s">
        <v>251</v>
      </c>
      <c r="B42" s="10"/>
      <c r="C42" s="10"/>
      <c r="D42" s="10"/>
      <c r="E42" s="10"/>
      <c r="F42" s="10"/>
      <c r="G42" s="10"/>
    </row>
    <row r="43" customFormat="false" ht="15" hidden="false" customHeight="false" outlineLevel="0" collapsed="false">
      <c r="A43" s="11" t="s">
        <v>252</v>
      </c>
      <c r="B43" s="11" t="s">
        <v>131</v>
      </c>
      <c r="C43" s="5" t="n">
        <f aca="false">Inputs!$D$55</f>
        <v>46</v>
      </c>
      <c r="D43" s="5" t="n">
        <f aca="false">Inputs!$E$55</f>
        <v>50</v>
      </c>
      <c r="E43" s="5" t="n">
        <f aca="false">Inputs!$F$55</f>
        <v>55</v>
      </c>
      <c r="F43" s="5" t="n">
        <f aca="false">Inputs!$G$55</f>
        <v>50</v>
      </c>
      <c r="G43" s="2"/>
    </row>
    <row r="44" customFormat="false" ht="15" hidden="false" customHeight="false" outlineLevel="0" collapsed="false">
      <c r="A44" s="11" t="s">
        <v>253</v>
      </c>
      <c r="B44" s="11" t="s">
        <v>131</v>
      </c>
      <c r="C44" s="5" t="n">
        <f aca="false">C43*(1+Inputs!$D$57)</f>
        <v>66.7</v>
      </c>
      <c r="D44" s="5" t="n">
        <f aca="false">D43*(1+Inputs!$E$57)</f>
        <v>87.5</v>
      </c>
      <c r="E44" s="5" t="n">
        <f aca="false">E43*(1+Inputs!$F$57)</f>
        <v>107.25</v>
      </c>
      <c r="F44" s="5" t="n">
        <f aca="false">F43*(1+Inputs!$G$57)</f>
        <v>87.5</v>
      </c>
      <c r="G44" s="2" t="s">
        <v>254</v>
      </c>
    </row>
    <row r="45" customFormat="false" ht="15" hidden="false" customHeight="false" outlineLevel="0" collapsed="false">
      <c r="A45" s="11" t="s">
        <v>255</v>
      </c>
      <c r="B45" s="11" t="s">
        <v>131</v>
      </c>
      <c r="C45" s="5" t="n">
        <f aca="false">C44*(1+Inputs!$D$58)</f>
        <v>86.71</v>
      </c>
      <c r="D45" s="5" t="n">
        <f aca="false">D44*(1+Inputs!$E$58)</f>
        <v>140</v>
      </c>
      <c r="E45" s="5" t="n">
        <f aca="false">E44*(1+Inputs!$F$58)</f>
        <v>187.6875</v>
      </c>
      <c r="F45" s="5" t="n">
        <f aca="false">F44*(1+Inputs!$G$58)</f>
        <v>140</v>
      </c>
      <c r="G45" s="2" t="s">
        <v>256</v>
      </c>
    </row>
    <row r="46" customFormat="false" ht="15" hidden="false" customHeight="false" outlineLevel="0" collapsed="false">
      <c r="A46" s="11" t="s">
        <v>257</v>
      </c>
      <c r="B46" s="11" t="s">
        <v>131</v>
      </c>
      <c r="C46" s="5" t="n">
        <f aca="false">C45*(1+Inputs!$D$59)</f>
        <v>104.052</v>
      </c>
      <c r="D46" s="5" t="n">
        <f aca="false">D45*(1+Inputs!$E$59)</f>
        <v>203</v>
      </c>
      <c r="E46" s="5" t="n">
        <f aca="false">E45*(1+Inputs!$F$59)</f>
        <v>290.915625</v>
      </c>
      <c r="F46" s="5" t="n">
        <f aca="false">F45*(1+Inputs!$G$59)</f>
        <v>203</v>
      </c>
      <c r="G46" s="2" t="s">
        <v>258</v>
      </c>
    </row>
    <row r="47" customFormat="false" ht="15" hidden="false" customHeight="false" outlineLevel="0" collapsed="false">
      <c r="A47" s="11" t="s">
        <v>259</v>
      </c>
      <c r="B47" s="11" t="s">
        <v>131</v>
      </c>
      <c r="C47" s="5" t="n">
        <f aca="false">C46*(1+Inputs!$D$60)</f>
        <v>116.53824</v>
      </c>
      <c r="D47" s="5" t="n">
        <f aca="false">D46*(1+Inputs!$E$60)</f>
        <v>274.05</v>
      </c>
      <c r="E47" s="5" t="n">
        <f aca="false">E46*(1+Inputs!$F$60)</f>
        <v>407.281875</v>
      </c>
      <c r="F47" s="5" t="n">
        <f aca="false">F46*(1+Inputs!$G$60)</f>
        <v>274.05</v>
      </c>
      <c r="G47" s="2" t="s">
        <v>260</v>
      </c>
    </row>
    <row r="48" customFormat="false" ht="15" hidden="false" customHeight="false" outlineLevel="0" collapsed="false">
      <c r="A48" s="11" t="s">
        <v>261</v>
      </c>
      <c r="B48" s="11" t="s">
        <v>247</v>
      </c>
      <c r="C48" s="29" t="n">
        <f aca="false">IF(C47=0,0,C27/C47)</f>
        <v>0.822139102152221</v>
      </c>
      <c r="D48" s="29" t="n">
        <f aca="false">IF(D47=0,0,D27/D47)</f>
        <v>1.0861339171684</v>
      </c>
      <c r="E48" s="29" t="n">
        <f aca="false">IF(E47=0,0,E27/E47)</f>
        <v>1.75388114189958</v>
      </c>
      <c r="F48" s="29" t="n">
        <f aca="false">IF(F47=0,0,F27/F47)</f>
        <v>1.0861339171684</v>
      </c>
      <c r="G48" s="2" t="s">
        <v>262</v>
      </c>
    </row>
    <row r="50" customFormat="false" ht="15" hidden="false" customHeight="false" outlineLevel="0" collapsed="false">
      <c r="A50" s="9" t="s">
        <v>263</v>
      </c>
      <c r="B50" s="10"/>
      <c r="C50" s="10"/>
      <c r="D50" s="10"/>
      <c r="E50" s="10"/>
      <c r="F50" s="10"/>
      <c r="G50" s="10"/>
    </row>
    <row r="51" customFormat="false" ht="15" hidden="false" customHeight="false" outlineLevel="0" collapsed="false">
      <c r="A51" s="6" t="s">
        <v>264</v>
      </c>
      <c r="B51" s="6" t="s">
        <v>265</v>
      </c>
      <c r="C51" s="6" t="s">
        <v>266</v>
      </c>
      <c r="D51" s="6" t="s">
        <v>267</v>
      </c>
      <c r="E51" s="6" t="s">
        <v>268</v>
      </c>
      <c r="F51" s="6" t="s">
        <v>269</v>
      </c>
      <c r="G51" s="6" t="s">
        <v>270</v>
      </c>
    </row>
    <row r="52" customFormat="false" ht="15" hidden="false" customHeight="false" outlineLevel="0" collapsed="false">
      <c r="A52" s="4" t="s">
        <v>221</v>
      </c>
      <c r="B52" s="19" t="n">
        <v>4</v>
      </c>
      <c r="C52" s="31" t="n">
        <f aca="false">IF($B52=0,"n/a",C19/$B52)</f>
        <v>5.243616</v>
      </c>
      <c r="D52" s="31" t="n">
        <f aca="false">IF($B52=0,"n/a",D19/$B52)</f>
        <v>18.525</v>
      </c>
      <c r="E52" s="31" t="n">
        <f aca="false">IF($B52=0,"n/a",E19/$B52)</f>
        <v>40.5504</v>
      </c>
      <c r="F52" s="31" t="n">
        <f aca="false">IF($B52=0,"n/a",F19/$B52)</f>
        <v>18.525</v>
      </c>
      <c r="G52" s="32" t="n">
        <f aca="false">IF($B52=0,"n/a",(D19/$B52)^(1/4.33)-1)</f>
        <v>0.962387674864212</v>
      </c>
    </row>
    <row r="53" customFormat="false" ht="15" hidden="false" customHeight="false" outlineLevel="0" collapsed="false">
      <c r="A53" s="4" t="s">
        <v>223</v>
      </c>
      <c r="B53" s="19" t="n">
        <v>8</v>
      </c>
      <c r="C53" s="31" t="n">
        <f aca="false">IF($B53=0,"n/a",C20/$B53)</f>
        <v>1.75275</v>
      </c>
      <c r="D53" s="31" t="n">
        <f aca="false">IF($B53=0,"n/a",D20/$B53)</f>
        <v>6.6825</v>
      </c>
      <c r="E53" s="31" t="n">
        <f aca="false">IF($B53=0,"n/a",E20/$B53)</f>
        <v>16.891875</v>
      </c>
      <c r="F53" s="31" t="n">
        <f aca="false">IF($B53=0,"n/a",F20/$B53)</f>
        <v>6.6825</v>
      </c>
      <c r="G53" s="32" t="n">
        <f aca="false">IF($B53=0,"n/a",(D20/$B53)^(1/4.33)-1)</f>
        <v>0.550661779353203</v>
      </c>
    </row>
    <row r="54" customFormat="false" ht="15" hidden="false" customHeight="false" outlineLevel="0" collapsed="false">
      <c r="A54" s="4" t="s">
        <v>224</v>
      </c>
      <c r="B54" s="19" t="n">
        <v>2</v>
      </c>
      <c r="C54" s="31" t="n">
        <f aca="false">IF($B54=0,"n/a",C21/$B54)</f>
        <v>2.18834</v>
      </c>
      <c r="D54" s="31" t="n">
        <f aca="false">IF($B54=0,"n/a",D21/$B54)</f>
        <v>8.8875</v>
      </c>
      <c r="E54" s="31" t="n">
        <f aca="false">IF($B54=0,"n/a",E21/$B54)</f>
        <v>29.7312</v>
      </c>
      <c r="F54" s="31" t="n">
        <f aca="false">IF($B54=0,"n/a",F21/$B54)</f>
        <v>8.8875</v>
      </c>
      <c r="G54" s="32" t="n">
        <f aca="false">IF($B54=0,"n/a",(D21/$B54)^(1/4.33)-1)</f>
        <v>0.656218737551753</v>
      </c>
    </row>
    <row r="55" customFormat="false" ht="15" hidden="false" customHeight="false" outlineLevel="0" collapsed="false">
      <c r="A55" s="4" t="s">
        <v>225</v>
      </c>
      <c r="B55" s="19" t="n">
        <v>6</v>
      </c>
      <c r="C55" s="31" t="n">
        <f aca="false">IF($B55=0,"n/a",C22/$B55)</f>
        <v>2.8</v>
      </c>
      <c r="D55" s="31" t="n">
        <f aca="false">IF($B55=0,"n/a",D22/$B55)</f>
        <v>8.33333333333333</v>
      </c>
      <c r="E55" s="31" t="n">
        <f aca="false">IF($B55=0,"n/a",E22/$B55)</f>
        <v>19.6</v>
      </c>
      <c r="F55" s="31" t="n">
        <f aca="false">IF($B55=0,"n/a",F22/$B55)</f>
        <v>8.33333333333333</v>
      </c>
      <c r="G55" s="32" t="n">
        <f aca="false">IF($B55=0,"n/a",(D22/$B55)^(1/4.33)-1)</f>
        <v>0.631774794027181</v>
      </c>
    </row>
    <row r="56" customFormat="false" ht="15" hidden="false" customHeight="false" outlineLevel="0" collapsed="false">
      <c r="A56" s="4" t="s">
        <v>226</v>
      </c>
      <c r="B56" s="19" t="n">
        <v>17</v>
      </c>
      <c r="C56" s="31" t="n">
        <f aca="false">IF($B56=0,"n/a",C23/$B56)</f>
        <v>0.714705882352941</v>
      </c>
      <c r="D56" s="31" t="n">
        <f aca="false">IF($B56=0,"n/a",D23/$B56)</f>
        <v>1.52470588235294</v>
      </c>
      <c r="E56" s="31" t="n">
        <f aca="false">IF($B56=0,"n/a",E23/$B56)</f>
        <v>3.81176470588235</v>
      </c>
      <c r="F56" s="31" t="n">
        <f aca="false">IF($B56=0,"n/a",F23/$B56)</f>
        <v>1.52470588235294</v>
      </c>
      <c r="G56" s="32" t="n">
        <f aca="false">IF($B56=0,"n/a",(D23/$B56)^(1/4.33)-1)</f>
        <v>0.102316360112696</v>
      </c>
    </row>
    <row r="57" customFormat="false" ht="15" hidden="false" customHeight="false" outlineLevel="0" collapsed="false">
      <c r="A57" s="4" t="s">
        <v>228</v>
      </c>
      <c r="B57" s="19" t="n">
        <v>1</v>
      </c>
      <c r="C57" s="31" t="n">
        <f aca="false">IF($B57=0,"n/a",C24/$B57)</f>
        <v>21.4875</v>
      </c>
      <c r="D57" s="31" t="n">
        <f aca="false">IF($B57=0,"n/a",D24/$B57)</f>
        <v>56.4</v>
      </c>
      <c r="E57" s="31" t="n">
        <f aca="false">IF($B57=0,"n/a",E24/$B57)</f>
        <v>125.125</v>
      </c>
      <c r="F57" s="31" t="n">
        <f aca="false">IF($B57=0,"n/a",F24/$B57)</f>
        <v>56.4</v>
      </c>
      <c r="G57" s="32" t="n">
        <f aca="false">IF($B57=0,"n/a",(D24/$B57)^(1/4.33)-1)</f>
        <v>1.53777110937315</v>
      </c>
    </row>
    <row r="58" customFormat="false" ht="15" hidden="false" customHeight="false" outlineLevel="0" collapsed="false">
      <c r="A58" s="4" t="s">
        <v>230</v>
      </c>
      <c r="B58" s="19" t="n">
        <v>0.5</v>
      </c>
      <c r="C58" s="31" t="n">
        <f aca="false">IF($B58=0,"n/a",C25/$B58)</f>
        <v>4</v>
      </c>
      <c r="D58" s="31" t="n">
        <f aca="false">IF($B58=0,"n/a",D25/$B58)</f>
        <v>20</v>
      </c>
      <c r="E58" s="31" t="n">
        <f aca="false">IF($B58=0,"n/a",E25/$B58)</f>
        <v>60</v>
      </c>
      <c r="F58" s="31" t="n">
        <f aca="false">IF($B58=0,"n/a",F25/$B58)</f>
        <v>20</v>
      </c>
      <c r="G58" s="32" t="n">
        <f aca="false">IF($B58=0,"n/a",(D25/$B58)^(1/4.33)-1)</f>
        <v>0.997417364886867</v>
      </c>
    </row>
    <row r="59" customFormat="false" ht="15" hidden="false" customHeight="false" outlineLevel="0" collapsed="false">
      <c r="A59" s="4" t="s">
        <v>144</v>
      </c>
      <c r="B59" s="19" t="n">
        <v>1.5</v>
      </c>
      <c r="C59" s="31" t="n">
        <f aca="false">IF($B59=0,"n/a",C26/$B59)</f>
        <v>2.66666666666667</v>
      </c>
      <c r="D59" s="31" t="n">
        <f aca="false">IF($B59=0,"n/a",D26/$B59)</f>
        <v>6.66666666666667</v>
      </c>
      <c r="E59" s="31" t="n">
        <f aca="false">IF($B59=0,"n/a",E26/$B59)</f>
        <v>13.3333333333333</v>
      </c>
      <c r="F59" s="31" t="n">
        <f aca="false">IF($B59=0,"n/a",F26/$B59)</f>
        <v>6.66666666666667</v>
      </c>
      <c r="G59" s="32" t="n">
        <f aca="false">IF($B59=0,"n/a",(D26/$B59)^(1/4.33)-1)</f>
        <v>0.549812484237004</v>
      </c>
    </row>
    <row r="60" customFormat="false" ht="15" hidden="false" customHeight="false" outlineLevel="0" collapsed="false">
      <c r="A60" s="6" t="s">
        <v>271</v>
      </c>
      <c r="B60" s="33" t="n">
        <f aca="false">SUM(B52:B59)</f>
        <v>40</v>
      </c>
      <c r="C60" s="31" t="n">
        <f aca="false">C27/$B60</f>
        <v>2.3952661</v>
      </c>
      <c r="D60" s="31" t="n">
        <f aca="false">D27/$B60</f>
        <v>7.441375</v>
      </c>
      <c r="E60" s="31" t="n">
        <f aca="false">E27/$B60</f>
        <v>17.8581</v>
      </c>
      <c r="F60" s="31" t="n">
        <f aca="false">F27/$B60</f>
        <v>7.441375</v>
      </c>
      <c r="G60" s="32" t="n">
        <f aca="false">(D27/$B60)^(1/4.33)-1</f>
        <v>0.589664906393253</v>
      </c>
      <c r="H60" s="2" t="s">
        <v>272</v>
      </c>
    </row>
    <row r="62" customFormat="false" ht="15" hidden="false" customHeight="false" outlineLevel="0" collapsed="false">
      <c r="A62" s="9" t="s">
        <v>273</v>
      </c>
      <c r="B62" s="10"/>
      <c r="C62" s="10"/>
      <c r="D62" s="10"/>
      <c r="E62" s="10"/>
      <c r="F62" s="10"/>
      <c r="G62" s="10"/>
    </row>
    <row r="63" customFormat="false" ht="15" hidden="false" customHeight="false" outlineLevel="0" collapsed="false">
      <c r="A63" s="6" t="s">
        <v>274</v>
      </c>
      <c r="B63" s="4" t="s">
        <v>275</v>
      </c>
      <c r="C63" s="20" t="n">
        <v>350</v>
      </c>
      <c r="D63" s="20" t="n">
        <v>400</v>
      </c>
    </row>
    <row r="64" customFormat="false" ht="15" hidden="false" customHeight="false" outlineLevel="0" collapsed="false">
      <c r="A64" s="4" t="s">
        <v>276</v>
      </c>
      <c r="C64" s="33" t="n">
        <f aca="false">C$63/$D$33</f>
        <v>15.9090909090909</v>
      </c>
      <c r="D64" s="33" t="n">
        <f aca="false">D$63/$D$33</f>
        <v>18.1818181818182</v>
      </c>
      <c r="G64" s="2" t="s">
        <v>277</v>
      </c>
    </row>
    <row r="65" customFormat="false" ht="15" hidden="false" customHeight="false" outlineLevel="0" collapsed="false">
      <c r="A65" s="4" t="s">
        <v>278</v>
      </c>
      <c r="B65" s="34" t="n">
        <v>35</v>
      </c>
      <c r="C65" s="35" t="n">
        <f aca="false">C$63/$B65</f>
        <v>10</v>
      </c>
      <c r="D65" s="35" t="n">
        <f aca="false">D$63/$B65</f>
        <v>11.4285714285714</v>
      </c>
      <c r="G65" s="2" t="s">
        <v>279</v>
      </c>
    </row>
    <row r="66" customFormat="false" ht="15" hidden="false" customHeight="false" outlineLevel="0" collapsed="false">
      <c r="A66" s="4" t="s">
        <v>280</v>
      </c>
      <c r="C66" s="35" t="n">
        <f aca="false">C$63/$D$35</f>
        <v>25.9428368121442</v>
      </c>
      <c r="D66" s="35" t="n">
        <f aca="false">D$63/$D$35</f>
        <v>29.6489563567362</v>
      </c>
      <c r="G66" s="2"/>
    </row>
    <row r="67" customFormat="false" ht="15" hidden="false" customHeight="false" outlineLevel="0" collapsed="false">
      <c r="A67" s="4" t="s">
        <v>281</v>
      </c>
      <c r="C67" s="36" t="n">
        <f aca="false">(C$63-($D$27-$D$28))/$D$28</f>
        <v>1.26797552921903</v>
      </c>
      <c r="D67" s="36" t="n">
        <f aca="false">(D$63-($D$27-$D$28))/$D$28</f>
        <v>1.52394604141603</v>
      </c>
      <c r="G67" s="2" t="s">
        <v>282</v>
      </c>
    </row>
    <row r="68" customFormat="false" ht="15" hidden="false" customHeight="false" outlineLevel="0" collapsed="false">
      <c r="A68" s="4" t="s">
        <v>283</v>
      </c>
      <c r="C68" s="32" t="n">
        <f aca="false">Inputs!$E$17*(1+(C67-1)*$D$28/$D$19)</f>
        <v>0.221833333333333</v>
      </c>
      <c r="D68" s="32" t="n">
        <f aca="false">Inputs!$E$17*(1+(D67-1)*$D$28/$D$19)</f>
        <v>0.309552631578947</v>
      </c>
      <c r="G68" s="2" t="s">
        <v>284</v>
      </c>
    </row>
    <row r="69" customFormat="false" ht="15" hidden="false" customHeight="false" outlineLevel="0" collapsed="false">
      <c r="A69" s="4" t="s">
        <v>285</v>
      </c>
      <c r="C69" s="32" t="n">
        <f aca="false">Inputs!$E$29*(1+(C67-1)*$D$28/$D$22)</f>
        <v>0.20469</v>
      </c>
      <c r="D69" s="32" t="n">
        <f aca="false">Inputs!$E$29*(1+(D67-1)*$D$28/$D$22)</f>
        <v>0.30469</v>
      </c>
      <c r="G69" s="2"/>
    </row>
    <row r="70" customFormat="false" ht="15" hidden="false" customHeight="false" outlineLevel="0" collapsed="false">
      <c r="A70" s="4" t="s">
        <v>286</v>
      </c>
      <c r="C70" s="32" t="n">
        <f aca="false">Inputs!$E$14*(1+(C67-1)*$D$28/$D$20)</f>
        <v>0.890614478114479</v>
      </c>
      <c r="D70" s="32" t="n">
        <f aca="false">Inputs!$E$14*(1+(D67-1)*$D$28/$D$20)</f>
        <v>1.3114898989899</v>
      </c>
      <c r="G70" s="2" t="s">
        <v>287</v>
      </c>
    </row>
    <row r="71" customFormat="false" ht="15" hidden="false" customHeight="false" outlineLevel="0" collapsed="false">
      <c r="A71" s="4" t="s">
        <v>288</v>
      </c>
      <c r="C71" s="32" t="n">
        <f aca="false">C$63/$D$16</f>
        <v>0.469357650529704</v>
      </c>
      <c r="D71" s="32" t="n">
        <f aca="false">D$63/$D$16</f>
        <v>0.536408743462518</v>
      </c>
      <c r="G71" s="2"/>
    </row>
    <row r="72" customFormat="false" ht="15" hidden="false" customHeight="false" outlineLevel="0" collapsed="false">
      <c r="A72" s="4" t="s">
        <v>289</v>
      </c>
      <c r="B72" s="34" t="n">
        <v>65000</v>
      </c>
      <c r="C72" s="37" t="n">
        <f aca="false">C$63/$B72</f>
        <v>0.00538461538461538</v>
      </c>
      <c r="D72" s="37" t="n">
        <f aca="false">D$63/$B72</f>
        <v>0.00615384615384615</v>
      </c>
      <c r="G72" s="2" t="s">
        <v>290</v>
      </c>
    </row>
    <row r="73" customFormat="false" ht="15" hidden="false" customHeight="false" outlineLevel="0" collapsed="false">
      <c r="A73" s="4" t="s">
        <v>291</v>
      </c>
      <c r="B73" s="34" t="n">
        <v>2400</v>
      </c>
      <c r="C73" s="32" t="n">
        <f aca="false">C$63/$B73</f>
        <v>0.145833333333333</v>
      </c>
      <c r="D73" s="32" t="n">
        <f aca="false">D$63/$B73</f>
        <v>0.166666666666667</v>
      </c>
      <c r="G73" s="2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6" min="3" style="0" width="12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293</v>
      </c>
    </row>
    <row r="2" customFormat="false" ht="15" hidden="false" customHeight="false" outlineLevel="0" collapsed="false">
      <c r="A2" s="2" t="s">
        <v>200</v>
      </c>
    </row>
    <row r="4" customFormat="false" ht="15" hidden="false" customHeight="false" outlineLevel="0" collapsed="false">
      <c r="A4" s="3" t="s">
        <v>201</v>
      </c>
      <c r="B4" s="3" t="s">
        <v>33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202</v>
      </c>
    </row>
    <row r="5" customFormat="false" ht="15" hidden="false" customHeight="false" outlineLevel="0" collapsed="false">
      <c r="A5" s="9" t="s">
        <v>203</v>
      </c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11" t="s">
        <v>204</v>
      </c>
      <c r="B6" s="11" t="s">
        <v>127</v>
      </c>
      <c r="C6" s="23" t="n">
        <f aca="false">Inputs!$D$9*Inputs!$D$17*1000</f>
        <v>5040</v>
      </c>
      <c r="D6" s="23" t="n">
        <f aca="false">Inputs!$E$9*Inputs!$E$17*1000</f>
        <v>9750</v>
      </c>
      <c r="E6" s="23" t="n">
        <f aca="false">Inputs!$F$9*Inputs!$F$17*1000</f>
        <v>12800</v>
      </c>
      <c r="F6" s="23" t="n">
        <f aca="false">Inputs!$G$9*Inputs!$G$17*1000</f>
        <v>9750</v>
      </c>
      <c r="G6" s="2" t="s">
        <v>205</v>
      </c>
    </row>
    <row r="7" customFormat="false" ht="15" hidden="false" customHeight="false" outlineLevel="0" collapsed="false">
      <c r="A7" s="11" t="s">
        <v>206</v>
      </c>
      <c r="B7" s="11" t="s">
        <v>127</v>
      </c>
      <c r="C7" s="23" t="n">
        <f aca="false">Inputs!$D$10*Inputs!$D$18*1000</f>
        <v>855</v>
      </c>
      <c r="D7" s="23" t="n">
        <f aca="false">Inputs!$E$10*Inputs!$E$18*1000</f>
        <v>1800</v>
      </c>
      <c r="E7" s="23" t="n">
        <f aca="false">Inputs!$F$10*Inputs!$F$18*1000</f>
        <v>2925</v>
      </c>
      <c r="F7" s="23" t="n">
        <f aca="false">Inputs!$G$10*Inputs!$G$18*1000</f>
        <v>1800</v>
      </c>
      <c r="G7" s="2"/>
    </row>
    <row r="8" customFormat="false" ht="15" hidden="false" customHeight="false" outlineLevel="0" collapsed="false">
      <c r="A8" s="11" t="s">
        <v>207</v>
      </c>
      <c r="B8" s="11" t="s">
        <v>127</v>
      </c>
      <c r="C8" s="23" t="n">
        <f aca="false">Inputs!$D$11*Inputs!$D$19*1000</f>
        <v>203</v>
      </c>
      <c r="D8" s="23" t="n">
        <f aca="false">Inputs!$E$11*Inputs!$E$19*1000</f>
        <v>360</v>
      </c>
      <c r="E8" s="23" t="n">
        <f aca="false">Inputs!$F$11*Inputs!$F$19*1000</f>
        <v>640</v>
      </c>
      <c r="F8" s="23" t="n">
        <f aca="false">Inputs!$G$11*Inputs!$G$19*1000</f>
        <v>360</v>
      </c>
      <c r="G8" s="2"/>
    </row>
    <row r="9" customFormat="false" ht="15" hidden="false" customHeight="false" outlineLevel="0" collapsed="false">
      <c r="A9" s="11" t="s">
        <v>208</v>
      </c>
      <c r="B9" s="11" t="s">
        <v>209</v>
      </c>
      <c r="C9" s="24" t="n">
        <f aca="false">Inputs!$D$6*Inputs!$D$13</f>
        <v>23.12</v>
      </c>
      <c r="D9" s="24" t="n">
        <f aca="false">Inputs!$E$6*Inputs!$E$13</f>
        <v>30.4</v>
      </c>
      <c r="E9" s="24" t="n">
        <f aca="false">Inputs!$F$6*Inputs!$F$13</f>
        <v>39.6</v>
      </c>
      <c r="F9" s="24" t="n">
        <f aca="false">Inputs!$G$6*Inputs!$G$13</f>
        <v>30.4</v>
      </c>
      <c r="G9" s="2" t="s">
        <v>210</v>
      </c>
    </row>
    <row r="10" customFormat="false" ht="15" hidden="false" customHeight="false" outlineLevel="0" collapsed="false">
      <c r="A10" s="11" t="s">
        <v>211</v>
      </c>
      <c r="B10" s="11" t="s">
        <v>209</v>
      </c>
      <c r="C10" s="24" t="n">
        <f aca="false">Inputs!$D$7*Inputs!$D$14</f>
        <v>65.6</v>
      </c>
      <c r="D10" s="24" t="n">
        <f aca="false">Inputs!$E$7*Inputs!$E$14</f>
        <v>99</v>
      </c>
      <c r="E10" s="24" t="n">
        <f aca="false">Inputs!$F$7*Inputs!$F$14</f>
        <v>132</v>
      </c>
      <c r="F10" s="24" t="n">
        <f aca="false">Inputs!$G$7*Inputs!$G$14</f>
        <v>99</v>
      </c>
      <c r="G10" s="2"/>
    </row>
    <row r="11" customFormat="false" ht="15" hidden="false" customHeight="false" outlineLevel="0" collapsed="false">
      <c r="A11" s="11" t="s">
        <v>212</v>
      </c>
      <c r="B11" s="11" t="s">
        <v>209</v>
      </c>
      <c r="C11" s="24" t="n">
        <f aca="false">Inputs!$D$8*Inputs!$D$15</f>
        <v>107.8</v>
      </c>
      <c r="D11" s="24" t="n">
        <f aca="false">Inputs!$E$8*Inputs!$E$15</f>
        <v>197.5</v>
      </c>
      <c r="E11" s="24" t="n">
        <f aca="false">Inputs!$F$8*Inputs!$F$15</f>
        <v>309.7</v>
      </c>
      <c r="F11" s="24" t="n">
        <f aca="false">Inputs!$G$8*Inputs!$G$15</f>
        <v>197.5</v>
      </c>
      <c r="G11" s="2"/>
    </row>
    <row r="12" customFormat="false" ht="15" hidden="false" customHeight="false" outlineLevel="0" collapsed="false">
      <c r="A12" s="11" t="s">
        <v>213</v>
      </c>
      <c r="B12" s="11" t="s">
        <v>131</v>
      </c>
      <c r="C12" s="25" t="n">
        <f aca="false">C9*C6/1000</f>
        <v>116.5248</v>
      </c>
      <c r="D12" s="25" t="n">
        <f aca="false">D9*D6/1000</f>
        <v>296.4</v>
      </c>
      <c r="E12" s="25" t="n">
        <f aca="false">E9*E6/1000</f>
        <v>506.88</v>
      </c>
      <c r="F12" s="25" t="n">
        <f aca="false">F9*F6/1000</f>
        <v>296.4</v>
      </c>
      <c r="G12" s="2" t="s">
        <v>214</v>
      </c>
    </row>
    <row r="13" customFormat="false" ht="15" hidden="false" customHeight="false" outlineLevel="0" collapsed="false">
      <c r="A13" s="11" t="s">
        <v>215</v>
      </c>
      <c r="B13" s="11" t="s">
        <v>131</v>
      </c>
      <c r="C13" s="25" t="n">
        <f aca="false">C10*C7/1000</f>
        <v>56.088</v>
      </c>
      <c r="D13" s="25" t="n">
        <f aca="false">D10*D7/1000</f>
        <v>178.2</v>
      </c>
      <c r="E13" s="25" t="n">
        <f aca="false">E10*E7/1000</f>
        <v>386.1</v>
      </c>
      <c r="F13" s="25" t="n">
        <f aca="false">F10*F7/1000</f>
        <v>178.2</v>
      </c>
      <c r="G13" s="2"/>
    </row>
    <row r="14" customFormat="false" ht="15" hidden="false" customHeight="false" outlineLevel="0" collapsed="false">
      <c r="A14" s="11" t="s">
        <v>216</v>
      </c>
      <c r="B14" s="11" t="s">
        <v>131</v>
      </c>
      <c r="C14" s="25" t="n">
        <f aca="false">C11*C8/1000</f>
        <v>21.8834</v>
      </c>
      <c r="D14" s="25" t="n">
        <f aca="false">D11*D8/1000</f>
        <v>71.1</v>
      </c>
      <c r="E14" s="25" t="n">
        <f aca="false">E11*E8/1000</f>
        <v>198.208</v>
      </c>
      <c r="F14" s="25" t="n">
        <f aca="false">F11*F8/1000</f>
        <v>71.1</v>
      </c>
      <c r="G14" s="2"/>
    </row>
    <row r="15" customFormat="false" ht="15" hidden="false" customHeight="false" outlineLevel="0" collapsed="false">
      <c r="A15" s="11" t="s">
        <v>217</v>
      </c>
      <c r="B15" s="11" t="s">
        <v>131</v>
      </c>
      <c r="C15" s="5" t="n">
        <f aca="false">Inputs!$D$28*Inputs!$D$29*Inputs!$D$30*1000</f>
        <v>84</v>
      </c>
      <c r="D15" s="5" t="n">
        <f aca="false">Inputs!$E$28*Inputs!$E$29*Inputs!$E$30*1000</f>
        <v>200</v>
      </c>
      <c r="E15" s="5" t="n">
        <f aca="false">Inputs!$F$28*Inputs!$F$29*Inputs!$F$30*1000</f>
        <v>420</v>
      </c>
      <c r="F15" s="5" t="n">
        <f aca="false">Inputs!$G$28*Inputs!$G$29*Inputs!$G$30*1000</f>
        <v>200</v>
      </c>
      <c r="G15" s="2" t="s">
        <v>218</v>
      </c>
    </row>
    <row r="16" customFormat="false" ht="15" hidden="false" customHeight="false" outlineLevel="0" collapsed="false">
      <c r="A16" s="6" t="s">
        <v>219</v>
      </c>
      <c r="B16" s="11" t="s">
        <v>131</v>
      </c>
      <c r="C16" s="26" t="n">
        <f aca="false">SUM(C12:C15)</f>
        <v>278.4962</v>
      </c>
      <c r="D16" s="26" t="n">
        <f aca="false">SUM(D12:D15)</f>
        <v>745.7</v>
      </c>
      <c r="E16" s="26" t="n">
        <f aca="false">SUM(E12:E15)</f>
        <v>1511.188</v>
      </c>
      <c r="F16" s="26" t="n">
        <f aca="false">SUM(F12:F15)</f>
        <v>745.7</v>
      </c>
      <c r="G16" s="2"/>
    </row>
    <row r="18" customFormat="false" ht="15" hidden="false" customHeight="false" outlineLevel="0" collapsed="false">
      <c r="A18" s="9" t="s">
        <v>294</v>
      </c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1" t="s">
        <v>221</v>
      </c>
      <c r="B19" s="11" t="s">
        <v>131</v>
      </c>
      <c r="C19" s="5" t="n">
        <f aca="false">C12*Inputs!$D$21</f>
        <v>40.78368</v>
      </c>
      <c r="D19" s="5" t="n">
        <f aca="false">D12*Inputs!$E$21</f>
        <v>124.488</v>
      </c>
      <c r="E19" s="5" t="n">
        <f aca="false">E12*Inputs!$F$21</f>
        <v>243.3024</v>
      </c>
      <c r="F19" s="5" t="n">
        <f aca="false">F12*Inputs!$G$21</f>
        <v>124.488</v>
      </c>
      <c r="G19" s="2" t="s">
        <v>222</v>
      </c>
    </row>
    <row r="20" customFormat="false" ht="15" hidden="false" customHeight="false" outlineLevel="0" collapsed="false">
      <c r="A20" s="11" t="s">
        <v>223</v>
      </c>
      <c r="B20" s="11" t="s">
        <v>131</v>
      </c>
      <c r="C20" s="5" t="n">
        <f aca="false">C13*Inputs!$D$23</f>
        <v>7.29144</v>
      </c>
      <c r="D20" s="5" t="n">
        <f aca="false">D13*Inputs!$E$23</f>
        <v>35.64</v>
      </c>
      <c r="E20" s="5" t="n">
        <f aca="false">E13*Inputs!$F$23</f>
        <v>92.664</v>
      </c>
      <c r="F20" s="5" t="n">
        <f aca="false">F13*Inputs!$G$23</f>
        <v>35.64</v>
      </c>
      <c r="G20" s="2"/>
    </row>
    <row r="21" customFormat="false" ht="15" hidden="false" customHeight="false" outlineLevel="0" collapsed="false">
      <c r="A21" s="11" t="s">
        <v>224</v>
      </c>
      <c r="B21" s="11" t="s">
        <v>131</v>
      </c>
      <c r="C21" s="5" t="n">
        <f aca="false">C14*Inputs!$D$25</f>
        <v>1.313004</v>
      </c>
      <c r="D21" s="5" t="n">
        <f aca="false">D14*Inputs!$E$25</f>
        <v>5.688</v>
      </c>
      <c r="E21" s="5" t="n">
        <f aca="false">E14*Inputs!$F$25</f>
        <v>23.78496</v>
      </c>
      <c r="F21" s="5" t="n">
        <f aca="false">F14*Inputs!$G$25</f>
        <v>5.688</v>
      </c>
      <c r="G21" s="2"/>
    </row>
    <row r="22" customFormat="false" ht="15" hidden="false" customHeight="false" outlineLevel="0" collapsed="false">
      <c r="A22" s="11" t="s">
        <v>225</v>
      </c>
      <c r="B22" s="11" t="s">
        <v>131</v>
      </c>
      <c r="C22" s="5" t="n">
        <f aca="false">C15*Inputs!$D$31</f>
        <v>25.2</v>
      </c>
      <c r="D22" s="5" t="n">
        <f aca="false">D15*Inputs!$E$31</f>
        <v>76</v>
      </c>
      <c r="E22" s="5" t="n">
        <f aca="false">E15*Inputs!$F$31</f>
        <v>168</v>
      </c>
      <c r="F22" s="5" t="n">
        <f aca="false">F15*Inputs!$G$31</f>
        <v>76</v>
      </c>
      <c r="G22" s="2"/>
    </row>
    <row r="23" customFormat="false" ht="15" hidden="false" customHeight="false" outlineLevel="0" collapsed="false">
      <c r="A23" s="11" t="s">
        <v>226</v>
      </c>
      <c r="B23" s="11" t="s">
        <v>131</v>
      </c>
      <c r="C23" s="5" t="n">
        <f aca="false">Inputs!$D$41*Inputs!$D$42*Inputs!$D$43*12/1000</f>
        <v>3.744</v>
      </c>
      <c r="D23" s="5" t="n">
        <f aca="false">Inputs!$E$41*Inputs!$E$42*Inputs!$E$43*12/1000</f>
        <v>9.6</v>
      </c>
      <c r="E23" s="5" t="n">
        <f aca="false">Inputs!$F$41*Inputs!$F$42*Inputs!$F$43*12/1000</f>
        <v>24.96</v>
      </c>
      <c r="F23" s="5" t="n">
        <f aca="false">Inputs!$G$41*Inputs!$G$42*Inputs!$G$43*12/1000</f>
        <v>9.6</v>
      </c>
      <c r="G23" s="2" t="s">
        <v>227</v>
      </c>
    </row>
    <row r="24" customFormat="false" ht="15" hidden="false" customHeight="false" outlineLevel="0" collapsed="false">
      <c r="A24" s="11" t="s">
        <v>228</v>
      </c>
      <c r="B24" s="11" t="s">
        <v>131</v>
      </c>
      <c r="C24" s="19" t="n">
        <f aca="false">0</f>
        <v>0</v>
      </c>
      <c r="D24" s="19" t="n">
        <f aca="false">0</f>
        <v>0</v>
      </c>
      <c r="E24" s="19" t="n">
        <f aca="false">0</f>
        <v>0</v>
      </c>
      <c r="F24" s="19" t="n">
        <f aca="false">0</f>
        <v>0</v>
      </c>
      <c r="G24" s="2" t="s">
        <v>295</v>
      </c>
    </row>
    <row r="25" customFormat="false" ht="15" hidden="false" customHeight="false" outlineLevel="0" collapsed="false">
      <c r="A25" s="11" t="s">
        <v>230</v>
      </c>
      <c r="B25" s="11" t="s">
        <v>131</v>
      </c>
      <c r="C25" s="19" t="n">
        <f aca="false">0</f>
        <v>0</v>
      </c>
      <c r="D25" s="19" t="n">
        <f aca="false">0</f>
        <v>0</v>
      </c>
      <c r="E25" s="19" t="n">
        <f aca="false">0</f>
        <v>0</v>
      </c>
      <c r="F25" s="19" t="n">
        <f aca="false">0</f>
        <v>0</v>
      </c>
      <c r="G25" s="2" t="s">
        <v>296</v>
      </c>
    </row>
    <row r="26" customFormat="false" ht="15" hidden="false" customHeight="false" outlineLevel="0" collapsed="false">
      <c r="A26" s="11" t="s">
        <v>144</v>
      </c>
      <c r="B26" s="11" t="s">
        <v>131</v>
      </c>
      <c r="C26" s="5" t="n">
        <f aca="false">Inputs!$D$46</f>
        <v>4</v>
      </c>
      <c r="D26" s="5" t="n">
        <f aca="false">Inputs!$E$46</f>
        <v>8</v>
      </c>
      <c r="E26" s="5" t="n">
        <f aca="false">Inputs!$F$46</f>
        <v>15</v>
      </c>
      <c r="F26" s="5" t="n">
        <f aca="false">Inputs!$G$46</f>
        <v>8</v>
      </c>
      <c r="G26" s="2"/>
    </row>
    <row r="27" customFormat="false" ht="15" hidden="false" customHeight="false" outlineLevel="0" collapsed="false">
      <c r="A27" s="6" t="s">
        <v>232</v>
      </c>
      <c r="B27" s="11" t="s">
        <v>131</v>
      </c>
      <c r="C27" s="26" t="n">
        <f aca="false">SUM(C19:C26)</f>
        <v>82.332124</v>
      </c>
      <c r="D27" s="26" t="n">
        <f aca="false">SUM(D19:D26)</f>
        <v>259.416</v>
      </c>
      <c r="E27" s="26" t="n">
        <f aca="false">SUM(E19:E26)</f>
        <v>567.71136</v>
      </c>
      <c r="F27" s="26" t="n">
        <f aca="false">SUM(F19:F26)</f>
        <v>259.416</v>
      </c>
      <c r="G27" s="2"/>
    </row>
    <row r="28" customFormat="false" ht="15" hidden="false" customHeight="false" outlineLevel="0" collapsed="false">
      <c r="A28" s="11" t="s">
        <v>233</v>
      </c>
      <c r="B28" s="11" t="s">
        <v>131</v>
      </c>
      <c r="C28" s="25" t="n">
        <f aca="false">SUM(C19:C22)</f>
        <v>74.588124</v>
      </c>
      <c r="D28" s="25" t="n">
        <f aca="false">SUM(D19:D22)</f>
        <v>241.816</v>
      </c>
      <c r="E28" s="25" t="n">
        <f aca="false">SUM(E19:E22)</f>
        <v>527.75136</v>
      </c>
      <c r="F28" s="25" t="n">
        <f aca="false">SUM(F19:F22)</f>
        <v>241.816</v>
      </c>
      <c r="G28" s="2"/>
    </row>
    <row r="29" customFormat="false" ht="15" hidden="false" customHeight="false" outlineLevel="0" collapsed="false">
      <c r="A29" s="11" t="s">
        <v>234</v>
      </c>
      <c r="B29" s="11" t="s">
        <v>131</v>
      </c>
      <c r="C29" s="25" t="n">
        <f aca="false">SUM(C23:C25)</f>
        <v>3.744</v>
      </c>
      <c r="D29" s="25" t="n">
        <f aca="false">SUM(D23:D25)</f>
        <v>9.6</v>
      </c>
      <c r="E29" s="25" t="n">
        <f aca="false">SUM(E23:E25)</f>
        <v>24.96</v>
      </c>
      <c r="F29" s="25" t="n">
        <f aca="false">SUM(F23:F25)</f>
        <v>9.6</v>
      </c>
      <c r="G29" s="2"/>
    </row>
    <row r="30" customFormat="false" ht="15" hidden="false" customHeight="false" outlineLevel="0" collapsed="false">
      <c r="A30" s="11" t="s">
        <v>235</v>
      </c>
      <c r="B30" s="11" t="s">
        <v>60</v>
      </c>
      <c r="C30" s="27" t="n">
        <f aca="false">IF(C27=0,0,C28/C27)</f>
        <v>0.905941938288875</v>
      </c>
      <c r="D30" s="27" t="n">
        <f aca="false">IF(D27=0,0,D28/D27)</f>
        <v>0.932155302679866</v>
      </c>
      <c r="E30" s="27" t="n">
        <f aca="false">IF(E27=0,0,E28/E27)</f>
        <v>0.929612118383539</v>
      </c>
      <c r="F30" s="27" t="n">
        <f aca="false">IF(F27=0,0,F28/F27)</f>
        <v>0.932155302679866</v>
      </c>
      <c r="G30" s="2"/>
    </row>
    <row r="32" customFormat="false" ht="15" hidden="false" customHeight="false" outlineLevel="0" collapsed="false">
      <c r="A32" s="9" t="s">
        <v>236</v>
      </c>
      <c r="B32" s="10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11" t="s">
        <v>237</v>
      </c>
      <c r="B33" s="11" t="s">
        <v>154</v>
      </c>
      <c r="C33" s="28" t="n">
        <f aca="false">Inputs!$D$49</f>
        <v>10</v>
      </c>
      <c r="D33" s="28" t="n">
        <f aca="false">Inputs!$E$49</f>
        <v>16</v>
      </c>
      <c r="E33" s="28" t="n">
        <f aca="false">Inputs!$F$49</f>
        <v>22</v>
      </c>
      <c r="F33" s="28" t="n">
        <f aca="false">Inputs!$G$49</f>
        <v>16</v>
      </c>
      <c r="G33" s="2"/>
    </row>
    <row r="34" customFormat="false" ht="15" hidden="false" customHeight="false" outlineLevel="0" collapsed="false">
      <c r="A34" s="11" t="s">
        <v>238</v>
      </c>
      <c r="B34" s="11" t="s">
        <v>239</v>
      </c>
      <c r="C34" s="5" t="n">
        <f aca="false">Inputs!$D$52*Inputs!$D$53*Inputs!$D$51</f>
        <v>11.52</v>
      </c>
      <c r="D34" s="5" t="n">
        <f aca="false">Inputs!$E$52*Inputs!$E$53*Inputs!$E$51</f>
        <v>21.76</v>
      </c>
      <c r="E34" s="5" t="n">
        <f aca="false">Inputs!$F$52*Inputs!$F$53*Inputs!$F$51</f>
        <v>64.896</v>
      </c>
      <c r="F34" s="5" t="n">
        <f aca="false">Inputs!$G$52*Inputs!$G$53*Inputs!$G$51</f>
        <v>21.76</v>
      </c>
      <c r="G34" s="2" t="s">
        <v>240</v>
      </c>
    </row>
    <row r="35" customFormat="false" ht="15" hidden="false" customHeight="false" outlineLevel="0" collapsed="false">
      <c r="A35" s="11" t="s">
        <v>241</v>
      </c>
      <c r="B35" s="11" t="s">
        <v>239</v>
      </c>
      <c r="C35" s="5" t="n">
        <f aca="false">C34*Inputs!$D$50</f>
        <v>6.336</v>
      </c>
      <c r="D35" s="5" t="n">
        <f aca="false">D34*Inputs!$E$50</f>
        <v>13.4912</v>
      </c>
      <c r="E35" s="5" t="n">
        <f aca="false">E34*Inputs!$F$50</f>
        <v>46.72512</v>
      </c>
      <c r="F35" s="5" t="n">
        <f aca="false">F34*Inputs!$G$50</f>
        <v>13.4912</v>
      </c>
      <c r="G35" s="2" t="s">
        <v>242</v>
      </c>
    </row>
    <row r="36" customFormat="false" ht="15" hidden="false" customHeight="false" outlineLevel="0" collapsed="false">
      <c r="A36" s="6" t="s">
        <v>243</v>
      </c>
      <c r="B36" s="11" t="s">
        <v>131</v>
      </c>
      <c r="C36" s="26" t="n">
        <f aca="false">C33*C35</f>
        <v>63.36</v>
      </c>
      <c r="D36" s="26" t="n">
        <f aca="false">D33*D35</f>
        <v>215.8592</v>
      </c>
      <c r="E36" s="26" t="n">
        <f aca="false">E33*E35</f>
        <v>1027.95264</v>
      </c>
      <c r="F36" s="26" t="n">
        <f aca="false">F33*F35</f>
        <v>215.8592</v>
      </c>
      <c r="G36" s="2" t="s">
        <v>244</v>
      </c>
    </row>
    <row r="37" customFormat="false" ht="15" hidden="false" customHeight="false" outlineLevel="0" collapsed="false">
      <c r="A37" s="11" t="s">
        <v>245</v>
      </c>
      <c r="B37" s="11" t="s">
        <v>131</v>
      </c>
      <c r="C37" s="25" t="n">
        <f aca="false">C27</f>
        <v>82.332124</v>
      </c>
      <c r="D37" s="25" t="n">
        <f aca="false">D27</f>
        <v>259.416</v>
      </c>
      <c r="E37" s="25" t="n">
        <f aca="false">E27</f>
        <v>567.71136</v>
      </c>
      <c r="F37" s="25" t="n">
        <f aca="false">F27</f>
        <v>259.416</v>
      </c>
      <c r="G37" s="2"/>
    </row>
    <row r="38" customFormat="false" ht="15" hidden="false" customHeight="false" outlineLevel="0" collapsed="false">
      <c r="A38" s="11" t="s">
        <v>246</v>
      </c>
      <c r="B38" s="11" t="s">
        <v>247</v>
      </c>
      <c r="C38" s="29" t="n">
        <f aca="false">IF(C36=0,0,C37/C36)</f>
        <v>1.29943377525253</v>
      </c>
      <c r="D38" s="29" t="n">
        <f aca="false">IF(D36=0,0,D37/D36)</f>
        <v>1.20178338472486</v>
      </c>
      <c r="E38" s="29" t="n">
        <f aca="false">IF(E36=0,0,E37/E36)</f>
        <v>0.552273847946925</v>
      </c>
      <c r="F38" s="29" t="n">
        <f aca="false">IF(F36=0,0,F37/F36)</f>
        <v>1.20178338472486</v>
      </c>
      <c r="G38" s="2" t="s">
        <v>248</v>
      </c>
    </row>
    <row r="39" customFormat="false" ht="15" hidden="false" customHeight="false" outlineLevel="0" collapsed="false">
      <c r="A39" s="11" t="s">
        <v>249</v>
      </c>
      <c r="B39" s="11" t="s">
        <v>154</v>
      </c>
      <c r="C39" s="30" t="n">
        <f aca="false">IF(C35=0,0,C37/C35)</f>
        <v>12.9943377525253</v>
      </c>
      <c r="D39" s="30" t="n">
        <f aca="false">IF(D35=0,0,D37/D35)</f>
        <v>19.2285341555977</v>
      </c>
      <c r="E39" s="30" t="n">
        <f aca="false">IF(E35=0,0,E37/E35)</f>
        <v>12.1500246548323</v>
      </c>
      <c r="F39" s="30" t="n">
        <f aca="false">IF(F35=0,0,F37/F35)</f>
        <v>19.2285341555977</v>
      </c>
      <c r="G39" s="2"/>
    </row>
    <row r="40" customFormat="false" ht="15" hidden="false" customHeight="false" outlineLevel="0" collapsed="false">
      <c r="A40" s="11" t="s">
        <v>250</v>
      </c>
      <c r="B40" s="11" t="s">
        <v>239</v>
      </c>
      <c r="C40" s="25" t="n">
        <f aca="false">IF(C33=0,0,C37/C33)</f>
        <v>8.2332124</v>
      </c>
      <c r="D40" s="25" t="n">
        <f aca="false">IF(D33=0,0,D37/D33)</f>
        <v>16.2135</v>
      </c>
      <c r="E40" s="25" t="n">
        <f aca="false">IF(E33=0,0,E37/E33)</f>
        <v>25.8050618181818</v>
      </c>
      <c r="F40" s="25" t="n">
        <f aca="false">IF(F33=0,0,F37/F33)</f>
        <v>16.2135</v>
      </c>
      <c r="G40" s="2"/>
    </row>
    <row r="42" customFormat="false" ht="15" hidden="false" customHeight="false" outlineLevel="0" collapsed="false">
      <c r="A42" s="9" t="s">
        <v>251</v>
      </c>
      <c r="B42" s="10"/>
      <c r="C42" s="10"/>
      <c r="D42" s="10"/>
      <c r="E42" s="10"/>
      <c r="F42" s="10"/>
      <c r="G42" s="10"/>
    </row>
    <row r="43" customFormat="false" ht="15" hidden="false" customHeight="false" outlineLevel="0" collapsed="false">
      <c r="A43" s="11" t="s">
        <v>252</v>
      </c>
      <c r="B43" s="11" t="s">
        <v>131</v>
      </c>
      <c r="C43" s="5" t="n">
        <f aca="false">Inputs!$D$56</f>
        <v>80</v>
      </c>
      <c r="D43" s="5" t="n">
        <f aca="false">Inputs!$E$56</f>
        <v>90</v>
      </c>
      <c r="E43" s="5" t="n">
        <f aca="false">Inputs!$F$56</f>
        <v>100</v>
      </c>
      <c r="F43" s="5" t="n">
        <f aca="false">Inputs!$G$56</f>
        <v>90</v>
      </c>
      <c r="G43" s="2"/>
    </row>
    <row r="44" customFormat="false" ht="15" hidden="false" customHeight="false" outlineLevel="0" collapsed="false">
      <c r="A44" s="11" t="s">
        <v>253</v>
      </c>
      <c r="B44" s="11" t="s">
        <v>131</v>
      </c>
      <c r="C44" s="5" t="n">
        <f aca="false">C43*(1+Inputs!$D$61)</f>
        <v>112</v>
      </c>
      <c r="D44" s="5" t="n">
        <f aca="false">D43*(1+Inputs!$E$61)</f>
        <v>153</v>
      </c>
      <c r="E44" s="5" t="n">
        <f aca="false">E43*(1+Inputs!$F$61)</f>
        <v>200</v>
      </c>
      <c r="F44" s="5" t="n">
        <f aca="false">F43*(1+Inputs!$G$61)</f>
        <v>153</v>
      </c>
      <c r="G44" s="2" t="s">
        <v>254</v>
      </c>
    </row>
    <row r="45" customFormat="false" ht="15" hidden="false" customHeight="false" outlineLevel="0" collapsed="false">
      <c r="A45" s="11" t="s">
        <v>255</v>
      </c>
      <c r="B45" s="11" t="s">
        <v>131</v>
      </c>
      <c r="C45" s="5" t="n">
        <f aca="false">C44*(1+Inputs!$D$62)</f>
        <v>136.64</v>
      </c>
      <c r="D45" s="5" t="n">
        <f aca="false">D44*(1+Inputs!$E$62)</f>
        <v>221.85</v>
      </c>
      <c r="E45" s="5" t="n">
        <f aca="false">E44*(1+Inputs!$F$62)</f>
        <v>320</v>
      </c>
      <c r="F45" s="5" t="n">
        <f aca="false">F44*(1+Inputs!$G$62)</f>
        <v>221.85</v>
      </c>
      <c r="G45" s="2" t="s">
        <v>256</v>
      </c>
    </row>
    <row r="46" customFormat="false" ht="15" hidden="false" customHeight="false" outlineLevel="0" collapsed="false">
      <c r="A46" s="11" t="s">
        <v>257</v>
      </c>
      <c r="B46" s="11" t="s">
        <v>131</v>
      </c>
      <c r="C46" s="5" t="n">
        <f aca="false">C45*(1+Inputs!$D$63)</f>
        <v>153.0368</v>
      </c>
      <c r="D46" s="5" t="n">
        <f aca="false">D45*(1+Inputs!$E$63)</f>
        <v>288.405</v>
      </c>
      <c r="E46" s="5" t="n">
        <f aca="false">E45*(1+Inputs!$F$63)</f>
        <v>448</v>
      </c>
      <c r="F46" s="5" t="n">
        <f aca="false">F45*(1+Inputs!$G$63)</f>
        <v>288.405</v>
      </c>
      <c r="G46" s="2" t="s">
        <v>258</v>
      </c>
    </row>
    <row r="47" customFormat="false" ht="15" hidden="false" customHeight="false" outlineLevel="0" collapsed="false">
      <c r="A47" s="11" t="s">
        <v>259</v>
      </c>
      <c r="B47" s="11" t="s">
        <v>131</v>
      </c>
      <c r="C47" s="5" t="n">
        <f aca="false">C46*(1+Inputs!$D$64)</f>
        <v>162.219008</v>
      </c>
      <c r="D47" s="5" t="n">
        <f aca="false">D46*(1+Inputs!$E$64)</f>
        <v>346.086</v>
      </c>
      <c r="E47" s="5" t="n">
        <f aca="false">E46*(1+Inputs!$F$64)</f>
        <v>582.4</v>
      </c>
      <c r="F47" s="5" t="n">
        <f aca="false">F46*(1+Inputs!$G$64)</f>
        <v>346.086</v>
      </c>
      <c r="G47" s="2" t="s">
        <v>260</v>
      </c>
    </row>
    <row r="48" customFormat="false" ht="15" hidden="false" customHeight="false" outlineLevel="0" collapsed="false">
      <c r="A48" s="11" t="s">
        <v>261</v>
      </c>
      <c r="B48" s="11" t="s">
        <v>247</v>
      </c>
      <c r="C48" s="29" t="n">
        <f aca="false">IF(C47=0,0,C27/C47)</f>
        <v>0.507536847962971</v>
      </c>
      <c r="D48" s="29" t="n">
        <f aca="false">IF(D47=0,0,D27/D47)</f>
        <v>0.749570915899516</v>
      </c>
      <c r="E48" s="29" t="n">
        <f aca="false">IF(E47=0,0,E27/E47)</f>
        <v>0.974779120879121</v>
      </c>
      <c r="F48" s="29" t="n">
        <f aca="false">IF(F47=0,0,F27/F47)</f>
        <v>0.749570915899516</v>
      </c>
      <c r="G48" s="2" t="s">
        <v>262</v>
      </c>
    </row>
    <row r="50" customFormat="false" ht="15" hidden="false" customHeight="false" outlineLevel="0" collapsed="false">
      <c r="A50" s="9" t="s">
        <v>263</v>
      </c>
      <c r="B50" s="10"/>
      <c r="C50" s="10"/>
      <c r="D50" s="10"/>
      <c r="E50" s="10"/>
      <c r="F50" s="10"/>
      <c r="G50" s="10"/>
    </row>
    <row r="51" customFormat="false" ht="15" hidden="false" customHeight="false" outlineLevel="0" collapsed="false">
      <c r="A51" s="6" t="s">
        <v>264</v>
      </c>
      <c r="B51" s="6" t="s">
        <v>265</v>
      </c>
      <c r="C51" s="6" t="s">
        <v>266</v>
      </c>
      <c r="D51" s="6" t="s">
        <v>267</v>
      </c>
      <c r="E51" s="6" t="s">
        <v>268</v>
      </c>
      <c r="F51" s="6" t="s">
        <v>269</v>
      </c>
      <c r="G51" s="6" t="s">
        <v>270</v>
      </c>
    </row>
    <row r="52" customFormat="false" ht="15" hidden="false" customHeight="false" outlineLevel="0" collapsed="false">
      <c r="A52" s="4" t="s">
        <v>221</v>
      </c>
      <c r="B52" s="19" t="n">
        <v>25</v>
      </c>
      <c r="C52" s="31" t="n">
        <f aca="false">IF($B52=0,"n/a",C19/$B52)</f>
        <v>1.6313472</v>
      </c>
      <c r="D52" s="31" t="n">
        <f aca="false">IF($B52=0,"n/a",D19/$B52)</f>
        <v>4.97952</v>
      </c>
      <c r="E52" s="31" t="n">
        <f aca="false">IF($B52=0,"n/a",E19/$B52)</f>
        <v>9.732096</v>
      </c>
      <c r="F52" s="31" t="n">
        <f aca="false">IF($B52=0,"n/a",F19/$B52)</f>
        <v>4.97952</v>
      </c>
      <c r="G52" s="32" t="n">
        <f aca="false">IF($B52=0,"n/a",(D19/$B52)^(1/4.33)-1)</f>
        <v>0.448816138784019</v>
      </c>
    </row>
    <row r="53" customFormat="false" ht="15" hidden="false" customHeight="false" outlineLevel="0" collapsed="false">
      <c r="A53" s="4" t="s">
        <v>223</v>
      </c>
      <c r="B53" s="19" t="n">
        <v>10</v>
      </c>
      <c r="C53" s="31" t="n">
        <f aca="false">IF($B53=0,"n/a",C20/$B53)</f>
        <v>0.729144</v>
      </c>
      <c r="D53" s="31" t="n">
        <f aca="false">IF($B53=0,"n/a",D20/$B53)</f>
        <v>3.564</v>
      </c>
      <c r="E53" s="31" t="n">
        <f aca="false">IF($B53=0,"n/a",E20/$B53)</f>
        <v>9.2664</v>
      </c>
      <c r="F53" s="31" t="n">
        <f aca="false">IF($B53=0,"n/a",F20/$B53)</f>
        <v>3.564</v>
      </c>
      <c r="G53" s="32" t="n">
        <f aca="false">IF($B53=0,"n/a",(D20/$B53)^(1/4.33)-1)</f>
        <v>0.341122009603629</v>
      </c>
    </row>
    <row r="54" customFormat="false" ht="15" hidden="false" customHeight="false" outlineLevel="0" collapsed="false">
      <c r="A54" s="4" t="s">
        <v>224</v>
      </c>
      <c r="B54" s="19" t="n">
        <v>1</v>
      </c>
      <c r="C54" s="31" t="n">
        <f aca="false">IF($B54=0,"n/a",C21/$B54)</f>
        <v>1.313004</v>
      </c>
      <c r="D54" s="31" t="n">
        <f aca="false">IF($B54=0,"n/a",D21/$B54)</f>
        <v>5.688</v>
      </c>
      <c r="E54" s="31" t="n">
        <f aca="false">IF($B54=0,"n/a",E21/$B54)</f>
        <v>23.78496</v>
      </c>
      <c r="F54" s="31" t="n">
        <f aca="false">IF($B54=0,"n/a",F21/$B54)</f>
        <v>5.688</v>
      </c>
      <c r="G54" s="32" t="n">
        <f aca="false">IF($B54=0,"n/a",(D21/$B54)^(1/4.33)-1)</f>
        <v>0.494017081742833</v>
      </c>
    </row>
    <row r="55" customFormat="false" ht="15" hidden="false" customHeight="false" outlineLevel="0" collapsed="false">
      <c r="A55" s="4" t="s">
        <v>225</v>
      </c>
      <c r="B55" s="19" t="n">
        <v>20</v>
      </c>
      <c r="C55" s="31" t="n">
        <f aca="false">IF($B55=0,"n/a",C22/$B55)</f>
        <v>1.26</v>
      </c>
      <c r="D55" s="31" t="n">
        <f aca="false">IF($B55=0,"n/a",D22/$B55)</f>
        <v>3.8</v>
      </c>
      <c r="E55" s="31" t="n">
        <f aca="false">IF($B55=0,"n/a",E22/$B55)</f>
        <v>8.4</v>
      </c>
      <c r="F55" s="31" t="n">
        <f aca="false">IF($B55=0,"n/a",F22/$B55)</f>
        <v>3.8</v>
      </c>
      <c r="G55" s="32" t="n">
        <f aca="false">IF($B55=0,"n/a",(D22/$B55)^(1/4.33)-1)</f>
        <v>0.361128770912522</v>
      </c>
    </row>
    <row r="56" customFormat="false" ht="15" hidden="false" customHeight="false" outlineLevel="0" collapsed="false">
      <c r="A56" s="4" t="s">
        <v>226</v>
      </c>
      <c r="B56" s="19" t="n">
        <v>6</v>
      </c>
      <c r="C56" s="31" t="n">
        <f aca="false">IF($B56=0,"n/a",C23/$B56)</f>
        <v>0.624</v>
      </c>
      <c r="D56" s="31" t="n">
        <f aca="false">IF($B56=0,"n/a",D23/$B56)</f>
        <v>1.6</v>
      </c>
      <c r="E56" s="31" t="n">
        <f aca="false">IF($B56=0,"n/a",E23/$B56)</f>
        <v>4.16</v>
      </c>
      <c r="F56" s="31" t="n">
        <f aca="false">IF($B56=0,"n/a",F23/$B56)</f>
        <v>1.6</v>
      </c>
      <c r="G56" s="32" t="n">
        <f aca="false">IF($B56=0,"n/a",(D23/$B56)^(1/4.33)-1)</f>
        <v>0.114656039764742</v>
      </c>
    </row>
    <row r="57" customFormat="false" ht="15" hidden="false" customHeight="false" outlineLevel="0" collapsed="false">
      <c r="A57" s="4" t="s">
        <v>228</v>
      </c>
      <c r="B57" s="19" t="n">
        <v>0</v>
      </c>
      <c r="C57" s="31" t="str">
        <f aca="false">IF($B57=0,"n/a",C24/$B57)</f>
        <v>n/a</v>
      </c>
      <c r="D57" s="31" t="str">
        <f aca="false">IF($B57=0,"n/a",D24/$B57)</f>
        <v>n/a</v>
      </c>
      <c r="E57" s="31" t="str">
        <f aca="false">IF($B57=0,"n/a",E24/$B57)</f>
        <v>n/a</v>
      </c>
      <c r="F57" s="31" t="str">
        <f aca="false">IF($B57=0,"n/a",F24/$B57)</f>
        <v>n/a</v>
      </c>
      <c r="G57" s="32" t="str">
        <f aca="false">IF($B57=0,"n/a",(D24/$B57)^(1/4.33)-1)</f>
        <v>n/a</v>
      </c>
    </row>
    <row r="58" customFormat="false" ht="15" hidden="false" customHeight="false" outlineLevel="0" collapsed="false">
      <c r="A58" s="4" t="s">
        <v>230</v>
      </c>
      <c r="B58" s="19" t="n">
        <v>0</v>
      </c>
      <c r="C58" s="31" t="str">
        <f aca="false">IF($B58=0,"n/a",C25/$B58)</f>
        <v>n/a</v>
      </c>
      <c r="D58" s="31" t="str">
        <f aca="false">IF($B58=0,"n/a",D25/$B58)</f>
        <v>n/a</v>
      </c>
      <c r="E58" s="31" t="str">
        <f aca="false">IF($B58=0,"n/a",E25/$B58)</f>
        <v>n/a</v>
      </c>
      <c r="F58" s="31" t="str">
        <f aca="false">IF($B58=0,"n/a",F25/$B58)</f>
        <v>n/a</v>
      </c>
      <c r="G58" s="32" t="str">
        <f aca="false">IF($B58=0,"n/a",(D25/$B58)^(1/4.33)-1)</f>
        <v>n/a</v>
      </c>
    </row>
    <row r="59" customFormat="false" ht="15" hidden="false" customHeight="false" outlineLevel="0" collapsed="false">
      <c r="A59" s="4" t="s">
        <v>144</v>
      </c>
      <c r="B59" s="19" t="n">
        <v>3</v>
      </c>
      <c r="C59" s="31" t="n">
        <f aca="false">IF($B59=0,"n/a",C26/$B59)</f>
        <v>1.33333333333333</v>
      </c>
      <c r="D59" s="31" t="n">
        <f aca="false">IF($B59=0,"n/a",D26/$B59)</f>
        <v>2.66666666666667</v>
      </c>
      <c r="E59" s="31" t="n">
        <f aca="false">IF($B59=0,"n/a",E26/$B59)</f>
        <v>5</v>
      </c>
      <c r="F59" s="31" t="n">
        <f aca="false">IF($B59=0,"n/a",F26/$B59)</f>
        <v>2.66666666666667</v>
      </c>
      <c r="G59" s="32" t="n">
        <f aca="false">IF($B59=0,"n/a",(D26/$B59)^(1/4.33)-1)</f>
        <v>0.254227014308561</v>
      </c>
    </row>
    <row r="60" customFormat="false" ht="15" hidden="false" customHeight="false" outlineLevel="0" collapsed="false">
      <c r="A60" s="6" t="s">
        <v>271</v>
      </c>
      <c r="B60" s="33" t="n">
        <f aca="false">SUM(B52:B59)</f>
        <v>65</v>
      </c>
      <c r="C60" s="31" t="n">
        <f aca="false">C27/$B60</f>
        <v>1.26664806153846</v>
      </c>
      <c r="D60" s="31" t="n">
        <f aca="false">D27/$B60</f>
        <v>3.99101538461538</v>
      </c>
      <c r="E60" s="31" t="n">
        <f aca="false">E27/$B60</f>
        <v>8.73402092307692</v>
      </c>
      <c r="F60" s="31" t="n">
        <f aca="false">F27/$B60</f>
        <v>3.99101538461538</v>
      </c>
      <c r="G60" s="32" t="n">
        <f aca="false">(D27/$B60)^(1/4.33)-1</f>
        <v>0.37663351217193</v>
      </c>
      <c r="H60" s="2" t="s">
        <v>272</v>
      </c>
    </row>
    <row r="62" customFormat="false" ht="15" hidden="false" customHeight="false" outlineLevel="0" collapsed="false">
      <c r="A62" s="9" t="s">
        <v>273</v>
      </c>
      <c r="B62" s="10"/>
      <c r="C62" s="10"/>
      <c r="D62" s="10"/>
      <c r="E62" s="10"/>
      <c r="F62" s="10"/>
      <c r="G62" s="10"/>
    </row>
    <row r="63" customFormat="false" ht="15" hidden="false" customHeight="false" outlineLevel="0" collapsed="false">
      <c r="A63" s="6" t="s">
        <v>274</v>
      </c>
      <c r="B63" s="4" t="s">
        <v>275</v>
      </c>
      <c r="C63" s="20" t="n">
        <v>350</v>
      </c>
      <c r="D63" s="20" t="n">
        <v>400</v>
      </c>
    </row>
    <row r="64" customFormat="false" ht="15" hidden="false" customHeight="false" outlineLevel="0" collapsed="false">
      <c r="A64" s="4" t="s">
        <v>276</v>
      </c>
      <c r="C64" s="33" t="n">
        <f aca="false">C$63/$D$33</f>
        <v>21.875</v>
      </c>
      <c r="D64" s="33" t="n">
        <f aca="false">D$63/$D$33</f>
        <v>25</v>
      </c>
      <c r="G64" s="2" t="s">
        <v>277</v>
      </c>
    </row>
    <row r="65" customFormat="false" ht="15" hidden="false" customHeight="false" outlineLevel="0" collapsed="false">
      <c r="A65" s="4" t="s">
        <v>278</v>
      </c>
      <c r="B65" s="34" t="n">
        <v>35</v>
      </c>
      <c r="C65" s="35" t="n">
        <f aca="false">C$63/$B65</f>
        <v>10</v>
      </c>
      <c r="D65" s="35" t="n">
        <f aca="false">D$63/$B65</f>
        <v>11.4285714285714</v>
      </c>
      <c r="G65" s="2" t="s">
        <v>279</v>
      </c>
    </row>
    <row r="66" customFormat="false" ht="15" hidden="false" customHeight="false" outlineLevel="0" collapsed="false">
      <c r="A66" s="4" t="s">
        <v>280</v>
      </c>
      <c r="C66" s="35" t="n">
        <f aca="false">C$63/$D$35</f>
        <v>25.9428368121442</v>
      </c>
      <c r="D66" s="35" t="n">
        <f aca="false">D$63/$D$35</f>
        <v>29.6489563567362</v>
      </c>
      <c r="G66" s="2"/>
    </row>
    <row r="67" customFormat="false" ht="15" hidden="false" customHeight="false" outlineLevel="0" collapsed="false">
      <c r="A67" s="4" t="s">
        <v>281</v>
      </c>
      <c r="C67" s="36" t="n">
        <f aca="false">(C$63-($D$27-$D$28))/$D$28</f>
        <v>1.37459886856122</v>
      </c>
      <c r="D67" s="36" t="n">
        <f aca="false">(D$63-($D$27-$D$28))/$D$28</f>
        <v>1.58136765143746</v>
      </c>
      <c r="G67" s="2" t="s">
        <v>282</v>
      </c>
    </row>
    <row r="68" customFormat="false" ht="15" hidden="false" customHeight="false" outlineLevel="0" collapsed="false">
      <c r="A68" s="4" t="s">
        <v>283</v>
      </c>
      <c r="C68" s="32" t="n">
        <f aca="false">Inputs!$E$17*(1+(C67-1)*$D$28/$D$19)</f>
        <v>0.224594820384294</v>
      </c>
      <c r="D68" s="32" t="n">
        <f aca="false">Inputs!$E$17*(1+(D67-1)*$D$28/$D$19)</f>
        <v>0.276808688387636</v>
      </c>
      <c r="G68" s="2" t="s">
        <v>284</v>
      </c>
    </row>
    <row r="69" customFormat="false" ht="15" hidden="false" customHeight="false" outlineLevel="0" collapsed="false">
      <c r="A69" s="4" t="s">
        <v>285</v>
      </c>
      <c r="C69" s="32" t="n">
        <f aca="false">Inputs!$E$29*(1+(C67-1)*$D$28/$D$22)</f>
        <v>0.219189473684211</v>
      </c>
      <c r="D69" s="32" t="n">
        <f aca="false">Inputs!$E$29*(1+(D67-1)*$D$28/$D$22)</f>
        <v>0.284978947368421</v>
      </c>
      <c r="G69" s="2"/>
    </row>
    <row r="70" customFormat="false" ht="15" hidden="false" customHeight="false" outlineLevel="0" collapsed="false">
      <c r="A70" s="4" t="s">
        <v>286</v>
      </c>
      <c r="C70" s="32" t="n">
        <f aca="false">Inputs!$E$14*(1+(C67-1)*$D$28/$D$20)</f>
        <v>1.59373737373738</v>
      </c>
      <c r="D70" s="32" t="n">
        <f aca="false">Inputs!$E$14*(1+(D67-1)*$D$28/$D$20)</f>
        <v>2.22505050505051</v>
      </c>
      <c r="G70" s="2" t="s">
        <v>287</v>
      </c>
    </row>
    <row r="71" customFormat="false" ht="15" hidden="false" customHeight="false" outlineLevel="0" collapsed="false">
      <c r="A71" s="4" t="s">
        <v>288</v>
      </c>
      <c r="C71" s="32" t="n">
        <f aca="false">C$63/$D$16</f>
        <v>0.469357650529704</v>
      </c>
      <c r="D71" s="32" t="n">
        <f aca="false">D$63/$D$16</f>
        <v>0.536408743462518</v>
      </c>
      <c r="G71" s="2"/>
    </row>
    <row r="72" customFormat="false" ht="15" hidden="false" customHeight="false" outlineLevel="0" collapsed="false">
      <c r="A72" s="4" t="s">
        <v>289</v>
      </c>
      <c r="B72" s="34" t="n">
        <v>65000</v>
      </c>
      <c r="C72" s="37" t="n">
        <f aca="false">C$63/$B72</f>
        <v>0.00538461538461538</v>
      </c>
      <c r="D72" s="37" t="n">
        <f aca="false">D$63/$B72</f>
        <v>0.00615384615384615</v>
      </c>
      <c r="G72" s="2" t="s">
        <v>290</v>
      </c>
    </row>
    <row r="73" customFormat="false" ht="15" hidden="false" customHeight="false" outlineLevel="0" collapsed="false">
      <c r="A73" s="4" t="s">
        <v>291</v>
      </c>
      <c r="B73" s="34" t="n">
        <v>2400</v>
      </c>
      <c r="C73" s="32" t="n">
        <f aca="false">C$63/$B73</f>
        <v>0.145833333333333</v>
      </c>
      <c r="D73" s="32" t="n">
        <f aca="false">D$63/$B73</f>
        <v>0.166666666666667</v>
      </c>
      <c r="G73" s="2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297</v>
      </c>
    </row>
    <row r="3" customFormat="false" ht="15" hidden="false" customHeight="false" outlineLevel="0" collapsed="false">
      <c r="A3" s="6" t="s">
        <v>298</v>
      </c>
    </row>
    <row r="4" customFormat="false" ht="15" hidden="false" customHeight="false" outlineLevel="0" collapsed="false">
      <c r="A4" s="2" t="s">
        <v>299</v>
      </c>
      <c r="B4" s="38" t="n">
        <v>8</v>
      </c>
      <c r="C4" s="38" t="n">
        <v>10.5</v>
      </c>
      <c r="D4" s="38" t="n">
        <v>14</v>
      </c>
      <c r="E4" s="38" t="n">
        <v>20</v>
      </c>
      <c r="F4" s="38" t="n">
        <v>28</v>
      </c>
      <c r="G4" s="38" t="n">
        <v>35</v>
      </c>
    </row>
    <row r="5" customFormat="false" ht="15" hidden="false" customHeight="false" outlineLevel="0" collapsed="false">
      <c r="A5" s="39" t="n">
        <v>10</v>
      </c>
      <c r="B5" s="40" t="n">
        <f aca="false">$A5*B$4</f>
        <v>80</v>
      </c>
      <c r="C5" s="40" t="n">
        <f aca="false">$A5*C$4</f>
        <v>105</v>
      </c>
      <c r="D5" s="40" t="n">
        <f aca="false">$A5*D$4</f>
        <v>140</v>
      </c>
      <c r="E5" s="40" t="n">
        <f aca="false">$A5*E$4</f>
        <v>200</v>
      </c>
      <c r="F5" s="40" t="n">
        <f aca="false">$A5*F$4</f>
        <v>280</v>
      </c>
      <c r="G5" s="40" t="n">
        <f aca="false">$A5*G$4</f>
        <v>350</v>
      </c>
    </row>
    <row r="6" customFormat="false" ht="15" hidden="false" customHeight="false" outlineLevel="0" collapsed="false">
      <c r="A6" s="39" t="n">
        <v>15</v>
      </c>
      <c r="B6" s="40" t="n">
        <f aca="false">$A6*B$4</f>
        <v>120</v>
      </c>
      <c r="C6" s="40" t="n">
        <f aca="false">$A6*C$4</f>
        <v>157.5</v>
      </c>
      <c r="D6" s="40" t="n">
        <f aca="false">$A6*D$4</f>
        <v>210</v>
      </c>
      <c r="E6" s="40" t="n">
        <f aca="false">$A6*E$4</f>
        <v>300</v>
      </c>
      <c r="F6" s="40" t="n">
        <f aca="false">$A6*F$4</f>
        <v>420</v>
      </c>
      <c r="G6" s="40" t="n">
        <f aca="false">$A6*G$4</f>
        <v>525</v>
      </c>
    </row>
    <row r="7" customFormat="false" ht="15" hidden="false" customHeight="false" outlineLevel="0" collapsed="false">
      <c r="A7" s="39" t="n">
        <v>20</v>
      </c>
      <c r="B7" s="40" t="n">
        <f aca="false">$A7*B$4</f>
        <v>160</v>
      </c>
      <c r="C7" s="40" t="n">
        <f aca="false">$A7*C$4</f>
        <v>210</v>
      </c>
      <c r="D7" s="40" t="n">
        <f aca="false">$A7*D$4</f>
        <v>280</v>
      </c>
      <c r="E7" s="40" t="n">
        <f aca="false">$A7*E$4</f>
        <v>400</v>
      </c>
      <c r="F7" s="40" t="n">
        <f aca="false">$A7*F$4</f>
        <v>560</v>
      </c>
      <c r="G7" s="40" t="n">
        <f aca="false">$A7*G$4</f>
        <v>700</v>
      </c>
    </row>
    <row r="8" customFormat="false" ht="15" hidden="false" customHeight="false" outlineLevel="0" collapsed="false">
      <c r="A8" s="39" t="n">
        <v>25</v>
      </c>
      <c r="B8" s="40" t="n">
        <f aca="false">$A8*B$4</f>
        <v>200</v>
      </c>
      <c r="C8" s="40" t="n">
        <f aca="false">$A8*C$4</f>
        <v>262.5</v>
      </c>
      <c r="D8" s="40" t="n">
        <f aca="false">$A8*D$4</f>
        <v>350</v>
      </c>
      <c r="E8" s="40" t="n">
        <f aca="false">$A8*E$4</f>
        <v>500</v>
      </c>
      <c r="F8" s="40" t="n">
        <f aca="false">$A8*F$4</f>
        <v>700</v>
      </c>
      <c r="G8" s="40" t="n">
        <f aca="false">$A8*G$4</f>
        <v>875</v>
      </c>
    </row>
    <row r="9" customFormat="false" ht="15" hidden="false" customHeight="false" outlineLevel="0" collapsed="false">
      <c r="A9" s="39" t="n">
        <v>30</v>
      </c>
      <c r="B9" s="40" t="n">
        <f aca="false">$A9*B$4</f>
        <v>240</v>
      </c>
      <c r="C9" s="40" t="n">
        <f aca="false">$A9*C$4</f>
        <v>315</v>
      </c>
      <c r="D9" s="40" t="n">
        <f aca="false">$A9*D$4</f>
        <v>420</v>
      </c>
      <c r="E9" s="40" t="n">
        <f aca="false">$A9*E$4</f>
        <v>600</v>
      </c>
      <c r="F9" s="40" t="n">
        <f aca="false">$A9*F$4</f>
        <v>840</v>
      </c>
      <c r="G9" s="40" t="n">
        <f aca="false">$A9*G$4</f>
        <v>1050</v>
      </c>
    </row>
    <row r="11" customFormat="false" ht="15" hidden="false" customHeight="false" outlineLevel="0" collapsed="false">
      <c r="A11" s="6" t="s">
        <v>300</v>
      </c>
    </row>
    <row r="12" customFormat="false" ht="15" hidden="false" customHeight="false" outlineLevel="0" collapsed="false">
      <c r="A12" s="2" t="s">
        <v>301</v>
      </c>
      <c r="B12" s="41" t="n">
        <v>0.8</v>
      </c>
      <c r="C12" s="41" t="n">
        <v>1.2</v>
      </c>
      <c r="D12" s="41" t="n">
        <v>1.6</v>
      </c>
      <c r="E12" s="41" t="n">
        <v>2.2</v>
      </c>
      <c r="F12" s="41" t="n">
        <v>3</v>
      </c>
    </row>
    <row r="13" customFormat="false" ht="15" hidden="false" customHeight="false" outlineLevel="0" collapsed="false">
      <c r="A13" s="42" t="n">
        <v>12</v>
      </c>
      <c r="B13" s="43" t="n">
        <f aca="false">$A13*B$12*Inputs!$E$50*Inputs!$E$51</f>
        <v>4.04736</v>
      </c>
      <c r="C13" s="43" t="n">
        <f aca="false">$A13*C$12*Inputs!$E$50*Inputs!$E$51</f>
        <v>6.07104</v>
      </c>
      <c r="D13" s="43" t="n">
        <f aca="false">$A13*D$12*Inputs!$E$50*Inputs!$E$51</f>
        <v>8.09472</v>
      </c>
      <c r="E13" s="43" t="n">
        <f aca="false">$A13*E$12*Inputs!$E$50*Inputs!$E$51</f>
        <v>11.13024</v>
      </c>
      <c r="F13" s="43" t="n">
        <f aca="false">$A13*F$12*Inputs!$E$50*Inputs!$E$51</f>
        <v>15.1776</v>
      </c>
    </row>
    <row r="14" customFormat="false" ht="15" hidden="false" customHeight="false" outlineLevel="0" collapsed="false">
      <c r="A14" s="42" t="n">
        <v>16</v>
      </c>
      <c r="B14" s="43" t="n">
        <f aca="false">$A14*B$12*Inputs!$E$50*Inputs!$E$51</f>
        <v>5.39648</v>
      </c>
      <c r="C14" s="43" t="n">
        <f aca="false">$A14*C$12*Inputs!$E$50*Inputs!$E$51</f>
        <v>8.09472</v>
      </c>
      <c r="D14" s="43" t="n">
        <f aca="false">$A14*D$12*Inputs!$E$50*Inputs!$E$51</f>
        <v>10.79296</v>
      </c>
      <c r="E14" s="43" t="n">
        <f aca="false">$A14*E$12*Inputs!$E$50*Inputs!$E$51</f>
        <v>14.84032</v>
      </c>
      <c r="F14" s="43" t="n">
        <f aca="false">$A14*F$12*Inputs!$E$50*Inputs!$E$51</f>
        <v>20.2368</v>
      </c>
    </row>
    <row r="15" customFormat="false" ht="15" hidden="false" customHeight="false" outlineLevel="0" collapsed="false">
      <c r="A15" s="42" t="n">
        <v>20</v>
      </c>
      <c r="B15" s="43" t="n">
        <f aca="false">$A15*B$12*Inputs!$E$50*Inputs!$E$51</f>
        <v>6.7456</v>
      </c>
      <c r="C15" s="43" t="n">
        <f aca="false">$A15*C$12*Inputs!$E$50*Inputs!$E$51</f>
        <v>10.1184</v>
      </c>
      <c r="D15" s="43" t="n">
        <f aca="false">$A15*D$12*Inputs!$E$50*Inputs!$E$51</f>
        <v>13.4912</v>
      </c>
      <c r="E15" s="43" t="n">
        <f aca="false">$A15*E$12*Inputs!$E$50*Inputs!$E$51</f>
        <v>18.5504</v>
      </c>
      <c r="F15" s="43" t="n">
        <f aca="false">$A15*F$12*Inputs!$E$50*Inputs!$E$51</f>
        <v>25.296</v>
      </c>
    </row>
    <row r="16" customFormat="false" ht="15" hidden="false" customHeight="false" outlineLevel="0" collapsed="false">
      <c r="A16" s="42" t="n">
        <v>24</v>
      </c>
      <c r="B16" s="43" t="n">
        <f aca="false">$A16*B$12*Inputs!$E$50*Inputs!$E$51</f>
        <v>8.09472</v>
      </c>
      <c r="C16" s="43" t="n">
        <f aca="false">$A16*C$12*Inputs!$E$50*Inputs!$E$51</f>
        <v>12.14208</v>
      </c>
      <c r="D16" s="43" t="n">
        <f aca="false">$A16*D$12*Inputs!$E$50*Inputs!$E$51</f>
        <v>16.18944</v>
      </c>
      <c r="E16" s="43" t="n">
        <f aca="false">$A16*E$12*Inputs!$E$50*Inputs!$E$51</f>
        <v>22.26048</v>
      </c>
      <c r="F16" s="43" t="n">
        <f aca="false">$A16*F$12*Inputs!$E$50*Inputs!$E$51</f>
        <v>30.3552</v>
      </c>
    </row>
    <row r="17" customFormat="false" ht="15" hidden="false" customHeight="false" outlineLevel="0" collapsed="false">
      <c r="A17" s="42" t="n">
        <v>32</v>
      </c>
      <c r="B17" s="43" t="n">
        <f aca="false">$A17*B$12*Inputs!$E$50*Inputs!$E$51</f>
        <v>10.79296</v>
      </c>
      <c r="C17" s="43" t="n">
        <f aca="false">$A17*C$12*Inputs!$E$50*Inputs!$E$51</f>
        <v>16.18944</v>
      </c>
      <c r="D17" s="43" t="n">
        <f aca="false">$A17*D$12*Inputs!$E$50*Inputs!$E$51</f>
        <v>21.58592</v>
      </c>
      <c r="E17" s="43" t="n">
        <f aca="false">$A17*E$12*Inputs!$E$50*Inputs!$E$51</f>
        <v>29.68064</v>
      </c>
      <c r="F17" s="43" t="n">
        <f aca="false">$A17*F$12*Inputs!$E$50*Inputs!$E$51</f>
        <v>40.4736</v>
      </c>
    </row>
    <row r="19" customFormat="false" ht="15" hidden="false" customHeight="false" outlineLevel="0" collapsed="false">
      <c r="A19" s="6" t="s">
        <v>302</v>
      </c>
    </row>
    <row r="20" customFormat="false" ht="15" hidden="false" customHeight="false" outlineLevel="0" collapsed="false">
      <c r="A20" s="2" t="s">
        <v>303</v>
      </c>
      <c r="B20" s="44" t="n">
        <v>15</v>
      </c>
      <c r="C20" s="44" t="n">
        <v>30</v>
      </c>
      <c r="D20" s="44" t="n">
        <v>45</v>
      </c>
      <c r="E20" s="44" t="n">
        <v>60</v>
      </c>
      <c r="F20" s="44" t="n">
        <v>80</v>
      </c>
    </row>
    <row r="21" customFormat="false" ht="15" hidden="false" customHeight="false" outlineLevel="0" collapsed="false">
      <c r="A21" s="8" t="n">
        <v>1400</v>
      </c>
      <c r="B21" s="40" t="n">
        <f aca="false">$A21*B$20/1000</f>
        <v>21</v>
      </c>
      <c r="C21" s="40" t="n">
        <f aca="false">$A21*C$20/1000</f>
        <v>42</v>
      </c>
      <c r="D21" s="40" t="n">
        <f aca="false">$A21*D$20/1000</f>
        <v>63</v>
      </c>
      <c r="E21" s="40" t="n">
        <f aca="false">$A21*E$20/1000</f>
        <v>84</v>
      </c>
      <c r="F21" s="40" t="n">
        <f aca="false">$A21*F$20/1000</f>
        <v>112</v>
      </c>
    </row>
    <row r="22" customFormat="false" ht="15" hidden="false" customHeight="false" outlineLevel="0" collapsed="false">
      <c r="A22" s="8" t="n">
        <v>1900</v>
      </c>
      <c r="B22" s="40" t="n">
        <f aca="false">$A22*B$20/1000</f>
        <v>28.5</v>
      </c>
      <c r="C22" s="40" t="n">
        <f aca="false">$A22*C$20/1000</f>
        <v>57</v>
      </c>
      <c r="D22" s="40" t="n">
        <f aca="false">$A22*D$20/1000</f>
        <v>85.5</v>
      </c>
      <c r="E22" s="40" t="n">
        <f aca="false">$A22*E$20/1000</f>
        <v>114</v>
      </c>
      <c r="F22" s="40" t="n">
        <f aca="false">$A22*F$20/1000</f>
        <v>152</v>
      </c>
    </row>
    <row r="23" customFormat="false" ht="15" hidden="false" customHeight="false" outlineLevel="0" collapsed="false">
      <c r="A23" s="8" t="n">
        <v>2300</v>
      </c>
      <c r="B23" s="40" t="n">
        <f aca="false">$A23*B$20/1000</f>
        <v>34.5</v>
      </c>
      <c r="C23" s="40" t="n">
        <f aca="false">$A23*C$20/1000</f>
        <v>69</v>
      </c>
      <c r="D23" s="40" t="n">
        <f aca="false">$A23*D$20/1000</f>
        <v>103.5</v>
      </c>
      <c r="E23" s="40" t="n">
        <f aca="false">$A23*E$20/1000</f>
        <v>138</v>
      </c>
      <c r="F23" s="40" t="n">
        <f aca="false">$A23*F$20/1000</f>
        <v>184</v>
      </c>
    </row>
    <row r="25" customFormat="false" ht="15" hidden="false" customHeight="false" outlineLevel="0" collapsed="false">
      <c r="A25" s="6" t="s">
        <v>304</v>
      </c>
    </row>
    <row r="26" customFormat="false" ht="15" hidden="false" customHeight="false" outlineLevel="0" collapsed="false">
      <c r="A26" s="2" t="s">
        <v>305</v>
      </c>
      <c r="B26" s="45" t="n">
        <v>0.04</v>
      </c>
      <c r="C26" s="45" t="n">
        <v>0.06</v>
      </c>
      <c r="D26" s="45" t="n">
        <v>0.08</v>
      </c>
      <c r="E26" s="45" t="n">
        <v>0.1</v>
      </c>
    </row>
    <row r="27" customFormat="false" ht="15" hidden="false" customHeight="false" outlineLevel="0" collapsed="false">
      <c r="A27" s="8" t="n">
        <v>1500</v>
      </c>
      <c r="B27" s="40" t="n">
        <f aca="false">$A27*B$26*Inputs!$E$36*12/1000</f>
        <v>12.96</v>
      </c>
      <c r="C27" s="40" t="n">
        <f aca="false">$A27*C$26*Inputs!$E$36*12/1000</f>
        <v>19.44</v>
      </c>
      <c r="D27" s="40" t="n">
        <f aca="false">$A27*D$26*Inputs!$E$36*12/1000</f>
        <v>25.92</v>
      </c>
      <c r="E27" s="40" t="n">
        <f aca="false">$A27*E$26*Inputs!$E$36*12/1000</f>
        <v>32.4</v>
      </c>
    </row>
    <row r="28" customFormat="false" ht="15" hidden="false" customHeight="false" outlineLevel="0" collapsed="false">
      <c r="A28" s="8" t="n">
        <v>2000</v>
      </c>
      <c r="B28" s="40" t="n">
        <f aca="false">$A28*B$26*Inputs!$E$36*12/1000</f>
        <v>17.28</v>
      </c>
      <c r="C28" s="40" t="n">
        <f aca="false">$A28*C$26*Inputs!$E$36*12/1000</f>
        <v>25.92</v>
      </c>
      <c r="D28" s="40" t="n">
        <f aca="false">$A28*D$26*Inputs!$E$36*12/1000</f>
        <v>34.56</v>
      </c>
      <c r="E28" s="40" t="n">
        <f aca="false">$A28*E$26*Inputs!$E$36*12/1000</f>
        <v>43.2</v>
      </c>
    </row>
    <row r="29" customFormat="false" ht="15" hidden="false" customHeight="false" outlineLevel="0" collapsed="false">
      <c r="A29" s="8" t="n">
        <v>2500</v>
      </c>
      <c r="B29" s="40" t="n">
        <f aca="false">$A29*B$26*Inputs!$E$36*12/1000</f>
        <v>21.6</v>
      </c>
      <c r="C29" s="40" t="n">
        <f aca="false">$A29*C$26*Inputs!$E$36*12/1000</f>
        <v>32.4</v>
      </c>
      <c r="D29" s="40" t="n">
        <f aca="false">$A29*D$26*Inputs!$E$36*12/1000</f>
        <v>43.2</v>
      </c>
      <c r="E29" s="40" t="n">
        <f aca="false">$A29*E$26*Inputs!$E$36*12/1000</f>
        <v>54</v>
      </c>
    </row>
    <row r="31" customFormat="false" ht="15" hidden="false" customHeight="false" outlineLevel="0" collapsed="false">
      <c r="A31" s="6" t="s">
        <v>306</v>
      </c>
    </row>
    <row r="32" customFormat="false" ht="15" hidden="false" customHeight="false" outlineLevel="0" collapsed="false">
      <c r="A32" s="2" t="s">
        <v>307</v>
      </c>
      <c r="B32" s="45" t="n">
        <v>0.3</v>
      </c>
      <c r="C32" s="45" t="n">
        <v>0.36</v>
      </c>
      <c r="D32" s="45" t="n">
        <v>0.42</v>
      </c>
      <c r="E32" s="45" t="n">
        <v>0.48</v>
      </c>
    </row>
    <row r="33" customFormat="false" ht="15" hidden="false" customHeight="false" outlineLevel="0" collapsed="false">
      <c r="A33" s="46" t="n">
        <v>4</v>
      </c>
      <c r="B33" s="40" t="n">
        <f aca="false">Inputs!$E$6*Inputs!$E$13*$A33*B$32</f>
        <v>36.48</v>
      </c>
      <c r="C33" s="40" t="n">
        <f aca="false">Inputs!$E$6*Inputs!$E$13*$A33*C$32</f>
        <v>43.776</v>
      </c>
      <c r="D33" s="40" t="n">
        <f aca="false">Inputs!$E$6*Inputs!$E$13*$A33*D$32</f>
        <v>51.072</v>
      </c>
      <c r="E33" s="40" t="n">
        <f aca="false">Inputs!$E$6*Inputs!$E$13*$A33*E$32</f>
        <v>58.368</v>
      </c>
    </row>
    <row r="34" customFormat="false" ht="15" hidden="false" customHeight="false" outlineLevel="0" collapsed="false">
      <c r="A34" s="46" t="n">
        <v>6</v>
      </c>
      <c r="B34" s="40" t="n">
        <f aca="false">Inputs!$E$6*Inputs!$E$13*$A34*B$32</f>
        <v>54.72</v>
      </c>
      <c r="C34" s="40" t="n">
        <f aca="false">Inputs!$E$6*Inputs!$E$13*$A34*C$32</f>
        <v>65.664</v>
      </c>
      <c r="D34" s="40" t="n">
        <f aca="false">Inputs!$E$6*Inputs!$E$13*$A34*D$32</f>
        <v>76.608</v>
      </c>
      <c r="E34" s="40" t="n">
        <f aca="false">Inputs!$E$6*Inputs!$E$13*$A34*E$32</f>
        <v>87.552</v>
      </c>
    </row>
    <row r="35" customFormat="false" ht="15" hidden="false" customHeight="false" outlineLevel="0" collapsed="false">
      <c r="A35" s="46" t="n">
        <v>9</v>
      </c>
      <c r="B35" s="40" t="n">
        <f aca="false">Inputs!$E$6*Inputs!$E$13*$A35*B$32</f>
        <v>82.08</v>
      </c>
      <c r="C35" s="40" t="n">
        <f aca="false">Inputs!$E$6*Inputs!$E$13*$A35*C$32</f>
        <v>98.496</v>
      </c>
      <c r="D35" s="40" t="n">
        <f aca="false">Inputs!$E$6*Inputs!$E$13*$A35*D$32</f>
        <v>114.912</v>
      </c>
      <c r="E35" s="40" t="n">
        <f aca="false">Inputs!$E$6*Inputs!$E$13*$A35*E$32</f>
        <v>131.328</v>
      </c>
    </row>
    <row r="36" customFormat="false" ht="15" hidden="false" customHeight="false" outlineLevel="0" collapsed="false">
      <c r="A36" s="46" t="n">
        <v>12</v>
      </c>
      <c r="B36" s="40" t="n">
        <f aca="false">Inputs!$E$6*Inputs!$E$13*$A36*B$32</f>
        <v>109.44</v>
      </c>
      <c r="C36" s="40" t="n">
        <f aca="false">Inputs!$E$6*Inputs!$E$13*$A36*C$32</f>
        <v>131.328</v>
      </c>
      <c r="D36" s="40" t="n">
        <f aca="false">Inputs!$E$6*Inputs!$E$13*$A36*D$32</f>
        <v>153.216</v>
      </c>
      <c r="E36" s="40" t="n">
        <f aca="false">Inputs!$E$6*Inputs!$E$13*$A36*E$32</f>
        <v>175.104</v>
      </c>
    </row>
    <row r="37" customFormat="false" ht="15" hidden="false" customHeight="false" outlineLevel="0" collapsed="false">
      <c r="A37" s="46" t="n">
        <v>15</v>
      </c>
      <c r="B37" s="40" t="n">
        <f aca="false">Inputs!$E$6*Inputs!$E$13*$A37*B$32</f>
        <v>136.8</v>
      </c>
      <c r="C37" s="40" t="n">
        <f aca="false">Inputs!$E$6*Inputs!$E$13*$A37*C$32</f>
        <v>164.16</v>
      </c>
      <c r="D37" s="40" t="n">
        <f aca="false">Inputs!$E$6*Inputs!$E$13*$A37*D$32</f>
        <v>191.52</v>
      </c>
      <c r="E37" s="40" t="n">
        <f aca="false">Inputs!$E$6*Inputs!$E$13*$A37*E$32</f>
        <v>218.88</v>
      </c>
    </row>
    <row r="39" customFormat="false" ht="15" hidden="false" customHeight="false" outlineLevel="0" collapsed="false">
      <c r="A39" s="6" t="s">
        <v>308</v>
      </c>
    </row>
    <row r="40" customFormat="false" ht="15" hidden="false" customHeight="false" outlineLevel="0" collapsed="false">
      <c r="A40" s="2" t="s">
        <v>309</v>
      </c>
      <c r="B40" s="47" t="n">
        <v>900</v>
      </c>
      <c r="C40" s="47" t="n">
        <v>1800</v>
      </c>
      <c r="D40" s="47" t="n">
        <v>2700</v>
      </c>
      <c r="E40" s="47" t="n">
        <v>3600</v>
      </c>
    </row>
    <row r="41" customFormat="false" ht="15" hidden="false" customHeight="false" outlineLevel="0" collapsed="false">
      <c r="A41" s="45" t="n">
        <v>0.3</v>
      </c>
      <c r="B41" s="40" t="n">
        <f aca="false">Inputs!$E$7*$A41*B$40/1000</f>
        <v>59.4</v>
      </c>
      <c r="C41" s="40" t="n">
        <f aca="false">Inputs!$E$7*$A41*C$40/1000</f>
        <v>118.8</v>
      </c>
      <c r="D41" s="40" t="n">
        <f aca="false">Inputs!$E$7*$A41*D$40/1000</f>
        <v>178.2</v>
      </c>
      <c r="E41" s="40" t="n">
        <f aca="false">Inputs!$E$7*$A41*E$40/1000</f>
        <v>237.6</v>
      </c>
    </row>
    <row r="42" customFormat="false" ht="15" hidden="false" customHeight="false" outlineLevel="0" collapsed="false">
      <c r="A42" s="45" t="n">
        <v>0.45</v>
      </c>
      <c r="B42" s="40" t="n">
        <f aca="false">Inputs!$E$7*$A42*B$40/1000</f>
        <v>89.1</v>
      </c>
      <c r="C42" s="40" t="n">
        <f aca="false">Inputs!$E$7*$A42*C$40/1000</f>
        <v>178.2</v>
      </c>
      <c r="D42" s="40" t="n">
        <f aca="false">Inputs!$E$7*$A42*D$40/1000</f>
        <v>267.3</v>
      </c>
      <c r="E42" s="40" t="n">
        <f aca="false">Inputs!$E$7*$A42*E$40/1000</f>
        <v>356.4</v>
      </c>
    </row>
    <row r="43" customFormat="false" ht="15" hidden="false" customHeight="false" outlineLevel="0" collapsed="false">
      <c r="A43" s="45" t="n">
        <v>0.6</v>
      </c>
      <c r="B43" s="40" t="n">
        <f aca="false">Inputs!$E$7*$A43*B$40/1000</f>
        <v>118.8</v>
      </c>
      <c r="C43" s="40" t="n">
        <f aca="false">Inputs!$E$7*$A43*C$40/1000</f>
        <v>237.6</v>
      </c>
      <c r="D43" s="40" t="n">
        <f aca="false">Inputs!$E$7*$A43*D$40/1000</f>
        <v>356.4</v>
      </c>
      <c r="E43" s="40" t="n">
        <f aca="false">Inputs!$E$7*$A43*E$40/1000</f>
        <v>475.2</v>
      </c>
    </row>
    <row r="45" customFormat="false" ht="15" hidden="false" customHeight="false" outlineLevel="0" collapsed="false">
      <c r="A45" s="6" t="s">
        <v>310</v>
      </c>
    </row>
    <row r="46" customFormat="false" ht="15" hidden="false" customHeight="false" outlineLevel="0" collapsed="false">
      <c r="A46" s="2" t="s">
        <v>311</v>
      </c>
      <c r="B46" s="45" t="n">
        <v>0.15</v>
      </c>
      <c r="C46" s="45" t="n">
        <v>0.2</v>
      </c>
      <c r="D46" s="45" t="n">
        <v>0.25</v>
      </c>
      <c r="E46" s="45" t="n">
        <v>0.3</v>
      </c>
      <c r="F46" s="45" t="n">
        <v>0.35</v>
      </c>
    </row>
    <row r="47" customFormat="false" ht="15" hidden="false" customHeight="false" outlineLevel="0" collapsed="false">
      <c r="A47" s="45" t="n">
        <v>0.05</v>
      </c>
      <c r="B47" s="40" t="n">
        <f aca="false">Inputs!$E$28*1000*$A47*B$46</f>
        <v>60</v>
      </c>
      <c r="C47" s="40" t="n">
        <f aca="false">Inputs!$E$28*1000*$A47*C$46</f>
        <v>80</v>
      </c>
      <c r="D47" s="40" t="n">
        <f aca="false">Inputs!$E$28*1000*$A47*D$46</f>
        <v>100</v>
      </c>
      <c r="E47" s="40" t="n">
        <f aca="false">Inputs!$E$28*1000*$A47*E$46</f>
        <v>120</v>
      </c>
      <c r="F47" s="40" t="n">
        <f aca="false">Inputs!$E$28*1000*$A47*F$46</f>
        <v>140</v>
      </c>
    </row>
    <row r="48" customFormat="false" ht="15" hidden="false" customHeight="false" outlineLevel="0" collapsed="false">
      <c r="A48" s="45" t="n">
        <v>0.1</v>
      </c>
      <c r="B48" s="40" t="n">
        <f aca="false">Inputs!$E$28*1000*$A48*B$46</f>
        <v>120</v>
      </c>
      <c r="C48" s="40" t="n">
        <f aca="false">Inputs!$E$28*1000*$A48*C$46</f>
        <v>160</v>
      </c>
      <c r="D48" s="40" t="n">
        <f aca="false">Inputs!$E$28*1000*$A48*D$46</f>
        <v>200</v>
      </c>
      <c r="E48" s="40" t="n">
        <f aca="false">Inputs!$E$28*1000*$A48*E$46</f>
        <v>240</v>
      </c>
      <c r="F48" s="40" t="n">
        <f aca="false">Inputs!$E$28*1000*$A48*F$46</f>
        <v>280</v>
      </c>
    </row>
    <row r="49" customFormat="false" ht="15" hidden="false" customHeight="false" outlineLevel="0" collapsed="false">
      <c r="A49" s="45" t="n">
        <v>0.15</v>
      </c>
      <c r="B49" s="40" t="n">
        <f aca="false">Inputs!$E$28*1000*$A49*B$46</f>
        <v>180</v>
      </c>
      <c r="C49" s="40" t="n">
        <f aca="false">Inputs!$E$28*1000*$A49*C$46</f>
        <v>240</v>
      </c>
      <c r="D49" s="40" t="n">
        <f aca="false">Inputs!$E$28*1000*$A49*D$46</f>
        <v>300</v>
      </c>
      <c r="E49" s="40" t="n">
        <f aca="false">Inputs!$E$28*1000*$A49*E$46</f>
        <v>360</v>
      </c>
      <c r="F49" s="40" t="n">
        <f aca="false">Inputs!$E$28*1000*$A49*F$46</f>
        <v>420</v>
      </c>
    </row>
    <row r="50" customFormat="false" ht="15" hidden="false" customHeight="false" outlineLevel="0" collapsed="false">
      <c r="A50" s="45" t="n">
        <v>0.2</v>
      </c>
      <c r="B50" s="40" t="n">
        <f aca="false">Inputs!$E$28*1000*$A50*B$46</f>
        <v>240</v>
      </c>
      <c r="C50" s="40" t="n">
        <f aca="false">Inputs!$E$28*1000*$A50*C$46</f>
        <v>320</v>
      </c>
      <c r="D50" s="40" t="n">
        <f aca="false">Inputs!$E$28*1000*$A50*D$46</f>
        <v>400</v>
      </c>
      <c r="E50" s="40" t="n">
        <f aca="false">Inputs!$E$28*1000*$A50*E$46</f>
        <v>480</v>
      </c>
      <c r="F50" s="40" t="n">
        <f aca="false">Inputs!$E$28*1000*$A50*F$46</f>
        <v>560</v>
      </c>
    </row>
    <row r="52" customFormat="false" ht="15" hidden="false" customHeight="false" outlineLevel="0" collapsed="false">
      <c r="A52" s="6" t="s">
        <v>312</v>
      </c>
    </row>
    <row r="53" customFormat="false" ht="15" hidden="false" customHeight="false" outlineLevel="0" collapsed="false">
      <c r="A53" s="2" t="s">
        <v>313</v>
      </c>
      <c r="B53" s="48" t="n">
        <v>6</v>
      </c>
      <c r="C53" s="48" t="n">
        <v>8</v>
      </c>
      <c r="D53" s="48" t="n">
        <v>10</v>
      </c>
      <c r="E53" s="48" t="n">
        <v>13.3</v>
      </c>
    </row>
    <row r="54" customFormat="false" ht="15" hidden="false" customHeight="false" outlineLevel="0" collapsed="false">
      <c r="A54" s="48" t="n">
        <v>10.5</v>
      </c>
      <c r="B54" s="49" t="n">
        <f aca="false">1-B$53/$A54</f>
        <v>0.428571428571429</v>
      </c>
      <c r="C54" s="49" t="n">
        <f aca="false">1-C$53/$A54</f>
        <v>0.238095238095238</v>
      </c>
      <c r="D54" s="49" t="n">
        <f aca="false">1-D$53/$A54</f>
        <v>0.0476190476190477</v>
      </c>
      <c r="E54" s="49" t="n">
        <f aca="false">1-E$53/$A54</f>
        <v>-0.266666666666667</v>
      </c>
    </row>
    <row r="55" customFormat="false" ht="15" hidden="false" customHeight="false" outlineLevel="0" collapsed="false">
      <c r="A55" s="48" t="n">
        <v>13.5</v>
      </c>
      <c r="B55" s="49" t="n">
        <f aca="false">1-B$53/$A55</f>
        <v>0.555555555555556</v>
      </c>
      <c r="C55" s="49" t="n">
        <f aca="false">1-C$53/$A55</f>
        <v>0.407407407407407</v>
      </c>
      <c r="D55" s="49" t="n">
        <f aca="false">1-D$53/$A55</f>
        <v>0.259259259259259</v>
      </c>
      <c r="E55" s="49" t="n">
        <f aca="false">1-E$53/$A55</f>
        <v>0.0148148148148147</v>
      </c>
    </row>
    <row r="56" customFormat="false" ht="15" hidden="false" customHeight="false" outlineLevel="0" collapsed="false">
      <c r="A56" s="48" t="n">
        <v>20</v>
      </c>
      <c r="B56" s="49" t="n">
        <f aca="false">1-B$53/$A56</f>
        <v>0.7</v>
      </c>
      <c r="C56" s="49" t="n">
        <f aca="false">1-C$53/$A56</f>
        <v>0.6</v>
      </c>
      <c r="D56" s="49" t="n">
        <f aca="false">1-D$53/$A56</f>
        <v>0.5</v>
      </c>
      <c r="E56" s="49" t="n">
        <f aca="false">1-E$53/$A56</f>
        <v>0.335</v>
      </c>
    </row>
    <row r="57" customFormat="false" ht="15" hidden="false" customHeight="false" outlineLevel="0" collapsed="false">
      <c r="A57" s="48" t="n">
        <v>28</v>
      </c>
      <c r="B57" s="49" t="n">
        <f aca="false">1-B$53/$A57</f>
        <v>0.785714285714286</v>
      </c>
      <c r="C57" s="49" t="n">
        <f aca="false">1-C$53/$A57</f>
        <v>0.714285714285714</v>
      </c>
      <c r="D57" s="49" t="n">
        <f aca="false">1-D$53/$A57</f>
        <v>0.642857142857143</v>
      </c>
      <c r="E57" s="49" t="n">
        <f aca="false">1-E$53/$A57</f>
        <v>0.525</v>
      </c>
    </row>
    <row r="58" customFormat="false" ht="15" hidden="false" customHeight="false" outlineLevel="0" collapsed="false">
      <c r="A58" s="48" t="n">
        <v>35</v>
      </c>
      <c r="B58" s="49" t="n">
        <f aca="false">1-B$53/$A58</f>
        <v>0.828571428571429</v>
      </c>
      <c r="C58" s="49" t="n">
        <f aca="false">1-C$53/$A58</f>
        <v>0.771428571428572</v>
      </c>
      <c r="D58" s="49" t="n">
        <f aca="false">1-D$53/$A58</f>
        <v>0.714285714285714</v>
      </c>
      <c r="E58" s="49" t="n">
        <f aca="false">1-E$53/$A58</f>
        <v>0.62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314</v>
      </c>
    </row>
    <row r="3" customFormat="false" ht="15" hidden="false" customHeight="false" outlineLevel="0" collapsed="false">
      <c r="A3" s="3" t="s">
        <v>315</v>
      </c>
      <c r="B3" s="3" t="s">
        <v>316</v>
      </c>
      <c r="C3" s="3" t="s">
        <v>317</v>
      </c>
      <c r="D3" s="3" t="s">
        <v>318</v>
      </c>
    </row>
    <row r="4" customFormat="false" ht="15" hidden="false" customHeight="false" outlineLevel="0" collapsed="false">
      <c r="A4" s="4" t="s">
        <v>319</v>
      </c>
      <c r="B4" s="4" t="s">
        <v>320</v>
      </c>
      <c r="C4" s="4" t="s">
        <v>321</v>
      </c>
      <c r="D4" s="50" t="s">
        <v>322</v>
      </c>
    </row>
    <row r="5" customFormat="false" ht="15" hidden="false" customHeight="false" outlineLevel="0" collapsed="false">
      <c r="A5" s="4" t="s">
        <v>323</v>
      </c>
      <c r="B5" s="4" t="s">
        <v>324</v>
      </c>
      <c r="C5" s="4" t="s">
        <v>325</v>
      </c>
      <c r="D5" s="50" t="s">
        <v>326</v>
      </c>
    </row>
    <row r="6" customFormat="false" ht="15" hidden="false" customHeight="false" outlineLevel="0" collapsed="false">
      <c r="A6" s="4" t="s">
        <v>327</v>
      </c>
      <c r="B6" s="4" t="s">
        <v>328</v>
      </c>
      <c r="C6" s="4" t="s">
        <v>329</v>
      </c>
      <c r="D6" s="50" t="s">
        <v>330</v>
      </c>
    </row>
    <row r="7" customFormat="false" ht="15" hidden="false" customHeight="false" outlineLevel="0" collapsed="false">
      <c r="A7" s="4" t="s">
        <v>331</v>
      </c>
      <c r="B7" s="4" t="s">
        <v>332</v>
      </c>
      <c r="C7" s="4" t="s">
        <v>333</v>
      </c>
      <c r="D7" s="50" t="s">
        <v>334</v>
      </c>
    </row>
    <row r="8" customFormat="false" ht="15" hidden="false" customHeight="false" outlineLevel="0" collapsed="false">
      <c r="A8" s="4" t="s">
        <v>335</v>
      </c>
      <c r="B8" s="4" t="s">
        <v>336</v>
      </c>
      <c r="C8" s="4" t="s">
        <v>337</v>
      </c>
      <c r="D8" s="50" t="s">
        <v>338</v>
      </c>
    </row>
    <row r="9" customFormat="false" ht="15" hidden="false" customHeight="false" outlineLevel="0" collapsed="false">
      <c r="A9" s="4" t="s">
        <v>339</v>
      </c>
      <c r="B9" s="4" t="s">
        <v>340</v>
      </c>
      <c r="C9" s="4" t="s">
        <v>341</v>
      </c>
      <c r="D9" s="50" t="s">
        <v>342</v>
      </c>
    </row>
    <row r="10" customFormat="false" ht="15" hidden="false" customHeight="false" outlineLevel="0" collapsed="false">
      <c r="A10" s="4" t="s">
        <v>343</v>
      </c>
      <c r="B10" s="4" t="s">
        <v>344</v>
      </c>
      <c r="C10" s="4" t="s">
        <v>345</v>
      </c>
      <c r="D10" s="50" t="s">
        <v>346</v>
      </c>
    </row>
    <row r="11" customFormat="false" ht="15" hidden="false" customHeight="false" outlineLevel="0" collapsed="false">
      <c r="A11" s="4" t="s">
        <v>347</v>
      </c>
      <c r="B11" s="4" t="s">
        <v>336</v>
      </c>
      <c r="C11" s="4" t="s">
        <v>348</v>
      </c>
      <c r="D11" s="50" t="s">
        <v>349</v>
      </c>
    </row>
    <row r="12" customFormat="false" ht="15" hidden="false" customHeight="false" outlineLevel="0" collapsed="false">
      <c r="A12" s="4" t="s">
        <v>350</v>
      </c>
      <c r="B12" s="4" t="s">
        <v>351</v>
      </c>
      <c r="C12" s="4" t="s">
        <v>341</v>
      </c>
      <c r="D12" s="50" t="s">
        <v>352</v>
      </c>
    </row>
    <row r="13" customFormat="false" ht="15" hidden="false" customHeight="false" outlineLevel="0" collapsed="false">
      <c r="A13" s="4" t="s">
        <v>353</v>
      </c>
      <c r="B13" s="4" t="s">
        <v>354</v>
      </c>
      <c r="C13" s="4" t="s">
        <v>355</v>
      </c>
      <c r="D13" s="50" t="s">
        <v>356</v>
      </c>
    </row>
    <row r="14" customFormat="false" ht="15" hidden="false" customHeight="false" outlineLevel="0" collapsed="false">
      <c r="A14" s="4" t="s">
        <v>357</v>
      </c>
      <c r="B14" s="4" t="s">
        <v>358</v>
      </c>
      <c r="C14" s="4" t="s">
        <v>359</v>
      </c>
      <c r="D14" s="50" t="s">
        <v>360</v>
      </c>
    </row>
    <row r="15" customFormat="false" ht="15" hidden="false" customHeight="false" outlineLevel="0" collapsed="false">
      <c r="A15" s="4" t="s">
        <v>361</v>
      </c>
      <c r="B15" s="4" t="s">
        <v>362</v>
      </c>
      <c r="C15" s="4" t="s">
        <v>363</v>
      </c>
      <c r="D15" s="50" t="s">
        <v>364</v>
      </c>
    </row>
    <row r="16" customFormat="false" ht="15" hidden="false" customHeight="false" outlineLevel="0" collapsed="false">
      <c r="A16" s="4" t="s">
        <v>365</v>
      </c>
      <c r="B16" s="4" t="s">
        <v>366</v>
      </c>
      <c r="C16" s="4" t="s">
        <v>367</v>
      </c>
      <c r="D16" s="50" t="s">
        <v>368</v>
      </c>
    </row>
    <row r="17" customFormat="false" ht="15" hidden="false" customHeight="false" outlineLevel="0" collapsed="false">
      <c r="A17" s="4" t="s">
        <v>369</v>
      </c>
      <c r="B17" s="4" t="s">
        <v>336</v>
      </c>
      <c r="C17" s="4" t="s">
        <v>337</v>
      </c>
      <c r="D17" s="50" t="s">
        <v>370</v>
      </c>
    </row>
    <row r="18" customFormat="false" ht="15" hidden="false" customHeight="false" outlineLevel="0" collapsed="false">
      <c r="A18" s="4" t="s">
        <v>371</v>
      </c>
      <c r="B18" s="4" t="s">
        <v>372</v>
      </c>
      <c r="C18" s="4" t="s">
        <v>337</v>
      </c>
      <c r="D18" s="50" t="s">
        <v>373</v>
      </c>
    </row>
    <row r="19" customFormat="false" ht="15" hidden="false" customHeight="false" outlineLevel="0" collapsed="false">
      <c r="A19" s="4" t="s">
        <v>374</v>
      </c>
      <c r="B19" s="4" t="s">
        <v>375</v>
      </c>
      <c r="C19" s="4" t="s">
        <v>376</v>
      </c>
      <c r="D19" s="50" t="s">
        <v>377</v>
      </c>
    </row>
    <row r="20" customFormat="false" ht="15" hidden="false" customHeight="false" outlineLevel="0" collapsed="false">
      <c r="A20" s="4" t="s">
        <v>378</v>
      </c>
      <c r="B20" s="4" t="s">
        <v>336</v>
      </c>
      <c r="C20" s="4" t="s">
        <v>379</v>
      </c>
      <c r="D20" s="50" t="s">
        <v>380</v>
      </c>
    </row>
    <row r="21" customFormat="false" ht="15" hidden="false" customHeight="false" outlineLevel="0" collapsed="false">
      <c r="A21" s="4" t="s">
        <v>381</v>
      </c>
      <c r="B21" s="4" t="s">
        <v>382</v>
      </c>
      <c r="C21" s="4" t="s">
        <v>363</v>
      </c>
      <c r="D21" s="50" t="s">
        <v>383</v>
      </c>
    </row>
    <row r="22" customFormat="false" ht="15" hidden="false" customHeight="false" outlineLevel="0" collapsed="false">
      <c r="A22" s="4" t="s">
        <v>384</v>
      </c>
      <c r="B22" s="4" t="s">
        <v>336</v>
      </c>
      <c r="C22" s="4" t="s">
        <v>341</v>
      </c>
      <c r="D22" s="50" t="s">
        <v>385</v>
      </c>
    </row>
    <row r="23" customFormat="false" ht="15" hidden="false" customHeight="false" outlineLevel="0" collapsed="false">
      <c r="A23" s="4" t="s">
        <v>386</v>
      </c>
      <c r="B23" s="4" t="s">
        <v>387</v>
      </c>
      <c r="C23" s="4" t="s">
        <v>388</v>
      </c>
      <c r="D23" s="50" t="s">
        <v>389</v>
      </c>
    </row>
    <row r="24" customFormat="false" ht="15" hidden="false" customHeight="false" outlineLevel="0" collapsed="false">
      <c r="A24" s="4" t="s">
        <v>390</v>
      </c>
      <c r="B24" s="4" t="s">
        <v>391</v>
      </c>
      <c r="C24" s="4" t="s">
        <v>392</v>
      </c>
      <c r="D24" s="50" t="s">
        <v>393</v>
      </c>
    </row>
    <row r="25" customFormat="false" ht="15" hidden="false" customHeight="false" outlineLevel="0" collapsed="false">
      <c r="A25" s="4" t="s">
        <v>394</v>
      </c>
      <c r="B25" s="4" t="s">
        <v>372</v>
      </c>
      <c r="C25" s="4" t="s">
        <v>395</v>
      </c>
      <c r="D25" s="50" t="s">
        <v>396</v>
      </c>
    </row>
    <row r="26" customFormat="false" ht="15" hidden="false" customHeight="false" outlineLevel="0" collapsed="false">
      <c r="A26" s="4" t="s">
        <v>397</v>
      </c>
      <c r="B26" s="4" t="s">
        <v>398</v>
      </c>
      <c r="C26" s="4" t="s">
        <v>399</v>
      </c>
      <c r="D26" s="50" t="s">
        <v>400</v>
      </c>
    </row>
    <row r="27" customFormat="false" ht="15" hidden="false" customHeight="false" outlineLevel="0" collapsed="false">
      <c r="A27" s="4" t="s">
        <v>401</v>
      </c>
      <c r="B27" s="4" t="s">
        <v>336</v>
      </c>
      <c r="C27" s="4" t="s">
        <v>402</v>
      </c>
      <c r="D27" s="50" t="s">
        <v>403</v>
      </c>
    </row>
    <row r="28" customFormat="false" ht="15" hidden="false" customHeight="false" outlineLevel="0" collapsed="false">
      <c r="A28" s="4" t="s">
        <v>404</v>
      </c>
      <c r="B28" s="4" t="s">
        <v>351</v>
      </c>
      <c r="C28" s="4" t="s">
        <v>405</v>
      </c>
      <c r="D28" s="50" t="s">
        <v>406</v>
      </c>
    </row>
    <row r="29" customFormat="false" ht="15" hidden="false" customHeight="false" outlineLevel="0" collapsed="false">
      <c r="A29" s="4" t="s">
        <v>407</v>
      </c>
      <c r="B29" s="4" t="s">
        <v>408</v>
      </c>
      <c r="C29" s="4" t="s">
        <v>409</v>
      </c>
      <c r="D29" s="50" t="s">
        <v>410</v>
      </c>
    </row>
    <row r="30" customFormat="false" ht="15" hidden="false" customHeight="false" outlineLevel="0" collapsed="false">
      <c r="A30" s="4" t="s">
        <v>411</v>
      </c>
      <c r="B30" s="4" t="s">
        <v>412</v>
      </c>
      <c r="C30" s="4" t="s">
        <v>413</v>
      </c>
      <c r="D30" s="50" t="s">
        <v>414</v>
      </c>
    </row>
    <row r="31" customFormat="false" ht="15" hidden="false" customHeight="false" outlineLevel="0" collapsed="false">
      <c r="A31" s="4" t="s">
        <v>415</v>
      </c>
      <c r="B31" s="4" t="s">
        <v>416</v>
      </c>
      <c r="C31" s="4" t="s">
        <v>417</v>
      </c>
      <c r="D31" s="50" t="s">
        <v>418</v>
      </c>
    </row>
    <row r="32" customFormat="false" ht="15" hidden="false" customHeight="false" outlineLevel="0" collapsed="false">
      <c r="A32" s="4" t="s">
        <v>419</v>
      </c>
      <c r="B32" s="4" t="s">
        <v>420</v>
      </c>
      <c r="C32" s="4" t="s">
        <v>421</v>
      </c>
      <c r="D32" s="50" t="s">
        <v>422</v>
      </c>
    </row>
    <row r="33" customFormat="false" ht="15" hidden="false" customHeight="false" outlineLevel="0" collapsed="false">
      <c r="A33" s="4" t="s">
        <v>423</v>
      </c>
      <c r="B33" s="4" t="s">
        <v>336</v>
      </c>
      <c r="C33" s="4" t="s">
        <v>424</v>
      </c>
      <c r="D33" s="50" t="s">
        <v>425</v>
      </c>
    </row>
    <row r="34" customFormat="false" ht="15" hidden="false" customHeight="false" outlineLevel="0" collapsed="false">
      <c r="A34" s="4" t="s">
        <v>426</v>
      </c>
      <c r="B34" s="4" t="s">
        <v>382</v>
      </c>
      <c r="C34" s="4" t="s">
        <v>427</v>
      </c>
      <c r="D34" s="50" t="s">
        <v>428</v>
      </c>
    </row>
    <row r="35" customFormat="false" ht="15" hidden="false" customHeight="false" outlineLevel="0" collapsed="false">
      <c r="A35" s="4" t="s">
        <v>429</v>
      </c>
      <c r="B35" s="4" t="s">
        <v>336</v>
      </c>
      <c r="C35" s="4" t="s">
        <v>430</v>
      </c>
      <c r="D35" s="50" t="s">
        <v>431</v>
      </c>
    </row>
  </sheetData>
  <hyperlinks>
    <hyperlink ref="D4" r:id="rId1" display="https://enterprisedna.co/resources/news/openai-enterprise-revenue-overtakes-consumer-40-billion-arr-2026/"/>
    <hyperlink ref="D5" r:id="rId2" display="https://www.demandsage.com/chatgpt-statistics/"/>
    <hyperlink ref="D6" r:id="rId3" display="https://www.bloomberg.com/news/articles/2026-02-20/openai-forecasts-its-revenue-will-top-280-billion-in-2030"/>
    <hyperlink ref="D7" r:id="rId4" display="https://axios.com/2026/04/09/openai-100-billion-in-ad-revenue"/>
    <hyperlink ref="D8" r:id="rId5" display="https://explainx.ai/blog/openai-advertise-in-chatgpt-ads-launch-july-2026"/>
    <hyperlink ref="D9" r:id="rId6" display="https://openai.com/index/a-business-that-scales-with-the-value-of-intelligence/"/>
    <hyperlink ref="D10" r:id="rId7" display="https://www.mbi-deepdives.com/oai-breakeven/"/>
    <hyperlink ref="D11" r:id="rId8" display="https://www.datacenterdynamics.com/en/news/openai-cuts-projected-compute-spend-to-600bn-by-2030-report/"/>
    <hyperlink ref="D12" r:id="rId9" display="https://openai.com/index/openai-nvidia-systems-partnership/"/>
    <hyperlink ref="D13" r:id="rId10" display="https://www.theregister.com/2025/07/22/openai_oracle_gpus/"/>
    <hyperlink ref="D14" r:id="rId11" display="https://techcrunch.com/2026/08/17/anthropics-annualized-revenue-surges-to-65b/"/>
    <hyperlink ref="D15" r:id="rId12" display="https://www.anthropic.com/news/google-broadcom-partnership-compute"/>
    <hyperlink ref="D16" r:id="rId13" display="https://www.usnews.com/news/top-news/articles/2026-08-14/exclusive-anthropic-ipo-valuation-hinges-on-190-200-billion-2028-revenue-forecast-sources-say"/>
    <hyperlink ref="D17" r:id="rId14" display="https://cryptobriefing.com/anthropic-10-gw-compute-capacity-2027/"/>
    <hyperlink ref="D18" r:id="rId15" display="https://aibusinessweekly.net/p/claude-code-statistics"/>
    <hyperlink ref="D19" r:id="rId16" display="https://valueaddvc.com/blog/is-anthropic-profitable-2026-losses-burn-rate-and-the-path-to-breakeven"/>
    <hyperlink ref="D20" r:id="rId17" display="https://code.claude.com/docs/en/costs"/>
    <hyperlink ref="D21" r:id="rId18" display="https://claude.com/pricing"/>
    <hyperlink ref="D22" r:id="rId19" display="https://openai.com/index/introducing-chatgpt-go/"/>
    <hyperlink ref="D23" r:id="rId20" display="https://investor.atmeta.com/investor-news/press-release-details/2026/Meta-Reports-Fourth-Quarter-and-Full-Year-2025-Results/default.aspx"/>
    <hyperlink ref="D24" r:id="rId21" display="https://s206.q4cdn.com/479360582/files/doc_financials/2025/q4/2025q4-alphabet-earnings-release.pdf"/>
    <hyperlink ref="D25" r:id="rId22" display="https://blog.google/innovation-and-ai/sundar-pichai-io-2026/"/>
    <hyperlink ref="D26" r:id="rId23" display="https://www.directionsonmicrosoft.com/microsoft-claims-15-million-paid-m365-copilot-seats/"/>
    <hyperlink ref="D27" r:id="rId24" display="https://www.secondtalent.com/resources/cursor-vs-github-copilot/"/>
    <hyperlink ref="D28" r:id="rId25" display="https://medium.com/@david.j.sea/anthropic-just-passed-openai-in-revenue-here-is-why-it-matters-e3dd9bb04069"/>
    <hyperlink ref="D29" r:id="rId26" display="https://www.atlantafed.org/research-and-data/publications/policy-hub-macroblog/2026/05/06/how-much-firms-spending-on-ai-and-what-will-happen-to-headcounts"/>
    <hyperlink ref="D30" r:id="rId27" display="https://www.gartner.com/en/newsroom/press-releases/2026-07-27-gartner-forecasts-worldwide-it-spending-to-grow-14-point-2-percent-in-2026-totaling-6-point-37-trillion"/>
    <hyperlink ref="D31" r:id="rId28" display="https://go.forrester.com/blogs/the-global-information-worker-population-swells-to-1-25-billion-in-2018/"/>
    <hyperlink ref="D32" r:id="rId29" display="https://www.bain.com/about/media-center/press-releases/20252/$2-trillion-in-new-revenue-needed-to-fund-ais-scaling-trend---bain--companys-6th-annual-global-technology-report/"/>
    <hyperlink ref="D33" r:id="rId30" display="https://epoch.ai/data-insights/ai-datacenter-cost-breakdown"/>
    <hyperlink ref="D34" r:id="rId31" display="https://benchlm.ai/llm-pricing"/>
    <hyperlink ref="D35" r:id="rId32" display="https://forecastingresearch.substack.com/p/will-the-ai-boom-continue-forecast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2026-09-24T00:16:26Z</dcterms:created>
  <dc:creator>openpyxl</dc:creator>
  <dc:description/>
  <dc:language>en-US</dc:language>
  <cp:lastModifiedBy/>
  <dcterms:modified xsi:type="dcterms:W3CDTF">2026-09-24T00:16:26Z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