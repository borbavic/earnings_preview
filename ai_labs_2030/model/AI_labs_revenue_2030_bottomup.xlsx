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OpenAI" sheetId="3" state="visible" r:id="rId5"/>
    <sheet name="Anthropic" sheetId="4" state="visible" r:id="rId6"/>
    <sheet name="Deck_check" sheetId="5" state="visible" r:id="rId7"/>
    <sheet name="Sensitivity" sheetId="6" state="visible" r:id="rId8"/>
    <sheet name="Sourc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<sst xmlns="http://schemas.openxmlformats.org/spreadsheetml/2006/main" count="983" uniqueCount="625">
  <si>
    <t xml:space="preserve">OpenAI &amp; Anthropic - 2030 revenue framework (bottom-up vs compute vs momentum). Base = MBI vBTG v3.</t>
  </si>
  <si>
    <t xml:space="preserve">All cells are links (green) or formulas. Edit assumptions on Inputs (Custom column).</t>
  </si>
  <si>
    <t xml:space="preserve">Metric ($B unless stated)</t>
  </si>
  <si>
    <t xml:space="preserve">Bear</t>
  </si>
  <si>
    <t xml:space="preserve">Base</t>
  </si>
  <si>
    <t xml:space="preserve">Bull</t>
  </si>
  <si>
    <t xml:space="preserve">Custom</t>
  </si>
  <si>
    <t xml:space="preserve">OpenAI - bottom-up revenue 2030</t>
  </si>
  <si>
    <t xml:space="preserve">OpenAI - supply-side revenue 2030 (avg inference GW x yield)</t>
  </si>
  <si>
    <t xml:space="preserve">OpenAI - momentum calendar revenue 2030</t>
  </si>
  <si>
    <t xml:space="preserve">OpenAI - yield needed for the bottom-up ($B per inference GW)</t>
  </si>
  <si>
    <t xml:space="preserve">Anthropic - bottom-up revenue 2030</t>
  </si>
  <si>
    <t xml:space="preserve">Anthropic - supply-side revenue 2030 (avg inference GW x yield)</t>
  </si>
  <si>
    <t xml:space="preserve">Anthropic - momentum calendar revenue 2030</t>
  </si>
  <si>
    <t xml:space="preserve">Anthropic - yield needed for the bottom-up ($B per inference GW)</t>
  </si>
  <si>
    <t xml:space="preserve">Combined bottom-up revenue 2030</t>
  </si>
  <si>
    <t xml:space="preserve">Deck check: 25 GW x inference share x $/GW-inference (per company)</t>
  </si>
  <si>
    <t xml:space="preserve">Deck yield vs v3 OpenAI yield</t>
  </si>
  <si>
    <t xml:space="preserve">Deck yield vs v3 Anthropic yield</t>
  </si>
  <si>
    <t xml:space="preserve">Reconciliation of the Base column to the v3 models (must be zero)</t>
  </si>
  <si>
    <t xml:space="preserve">Line</t>
  </si>
  <si>
    <t xml:space="preserve">Model Base</t>
  </si>
  <si>
    <t xml:space="preserve">v3</t>
  </si>
  <si>
    <t xml:space="preserve">Difference</t>
  </si>
  <si>
    <t xml:space="preserve">OpenAI: 2030 revenue - bottom-up</t>
  </si>
  <si>
    <t xml:space="preserve">OpenAI: 2030 revenue - supply side</t>
  </si>
  <si>
    <t xml:space="preserve">OpenAI: 2030 revenue - momentum (calendar)</t>
  </si>
  <si>
    <t xml:space="preserve">OpenAI: 2030 exit run-rate</t>
  </si>
  <si>
    <t xml:space="preserve">OpenAI: Average total GW 2030</t>
  </si>
  <si>
    <t xml:space="preserve">OpenAI: Inference share of average capacity</t>
  </si>
  <si>
    <t xml:space="preserve">OpenAI: Average inference GW 2030</t>
  </si>
  <si>
    <t xml:space="preserve">OpenAI: Revenue per average inference GW-year</t>
  </si>
  <si>
    <t xml:space="preserve">OpenAI: Revenue per average total GW-year</t>
  </si>
  <si>
    <t xml:space="preserve">OpenAI: Gross margin 2030</t>
  </si>
  <si>
    <t xml:space="preserve">Anthropic: 2030 revenue - bottom-up</t>
  </si>
  <si>
    <t xml:space="preserve">Anthropic: 2030 revenue - supply side</t>
  </si>
  <si>
    <t xml:space="preserve">Anthropic: 2030 revenue - momentum (calendar)</t>
  </si>
  <si>
    <t xml:space="preserve">Anthropic: 2030 exit run-rate</t>
  </si>
  <si>
    <t xml:space="preserve">Anthropic: Average total GW 2030</t>
  </si>
  <si>
    <t xml:space="preserve">Anthropic: Inference share of average capacity</t>
  </si>
  <si>
    <t xml:space="preserve">Anthropic: Average inference GW 2030</t>
  </si>
  <si>
    <t xml:space="preserve">Anthropic: Revenue per average inference GW-year</t>
  </si>
  <si>
    <t xml:space="preserve">Anthropic: Revenue per average total GW-year</t>
  </si>
  <si>
    <t xml:space="preserve">Anthropic: Gross margin 2030</t>
  </si>
  <si>
    <t xml:space="preserve">Reference points (2026)</t>
  </si>
  <si>
    <t xml:space="preserve">OpenAI run-rate Aug-2026</t>
  </si>
  <si>
    <t xml:space="preserve">press reports; enterprise &gt;50% of mix</t>
  </si>
  <si>
    <t xml:space="preserve">Anthropic run-rate end-Jul-2026</t>
  </si>
  <si>
    <t xml:space="preserve">Bloomberg/Axios 17-Aug-2026</t>
  </si>
  <si>
    <t xml:space="preserve">OpenAI company plan 2030</t>
  </si>
  <si>
    <t xml:space="preserve">&gt;$280B (Bloomberg 20-Feb-2026); later reports up to ~$350B</t>
  </si>
  <si>
    <t xml:space="preserve">Anthropic company plan 2028</t>
  </si>
  <si>
    <t xml:space="preserve">$190-200B (Reuters 14-Aug-2026)</t>
  </si>
  <si>
    <t xml:space="preserve">Superforecaster median, OpenAI+Anthropic combined 2030 run-rate</t>
  </si>
  <si>
    <t xml:space="preserve">Forecasting Research Institute; 34% prob. &gt;$400B</t>
  </si>
  <si>
    <t xml:space="preserve">Bain: AI revenue needed by 2030 (whole industry)</t>
  </si>
  <si>
    <t xml:space="preserve">Bain Global Technology Report 2025</t>
  </si>
  <si>
    <t xml:space="preserve">Inputs - 2030 assumptions (bear / base / bull) + Custom scenario. BASE = MBI vBTG v3 models.</t>
  </si>
  <si>
    <t xml:space="preserve">Legend: blue = hardcoded input; black = formula (the two SOLVED machine-API shares); yellow Custom column (G) is the one to edit - it defaults to Base. The 'v3 reference' group holds the v3 cells the Base is tied to (used by the reconciliation on Summary).</t>
  </si>
  <si>
    <t xml:space="preserve">Key</t>
  </si>
  <si>
    <t xml:space="preserve">Assumption (2030 unless stated)</t>
  </si>
  <si>
    <t xml:space="preserve">Unit</t>
  </si>
  <si>
    <t xml:space="preserve">Custom (edit)</t>
  </si>
  <si>
    <t xml:space="preserve">Anchor / source (v3 cell where applicable)</t>
  </si>
  <si>
    <t xml:space="preserve">Pool</t>
  </si>
  <si>
    <t xml:space="preserve">kw_dev</t>
  </si>
  <si>
    <t xml:space="preserve">Developers / data-AI engineers (M)</t>
  </si>
  <si>
    <t xml:space="preserve">M people</t>
  </si>
  <si>
    <t xml:space="preserve">~30M professional devs 2026 (SlashData/Evans est.); AI-native builders expand the pool</t>
  </si>
  <si>
    <t xml:space="preserve">kw_pro</t>
  </si>
  <si>
    <t xml:space="preserve">Professional / high-intensity knowledge workers (M)</t>
  </si>
  <si>
    <t xml:space="preserve">finance, legal, consulting, research, marketing, sales, product; ~20% of ~1.05B KW</t>
  </si>
  <si>
    <t xml:space="preserve">kw_gen</t>
  </si>
  <si>
    <t xml:space="preserve">General knowledge workers (M)</t>
  </si>
  <si>
    <t xml:space="preserve">~1B+ knowledge workers globally (Gartner &gt;1B; Forrester 1.25B info workers); residual</t>
  </si>
  <si>
    <t xml:space="preserve">sal_dev</t>
  </si>
  <si>
    <t xml:space="preserve">Avg salary - developers ($k/yr, global blend)</t>
  </si>
  <si>
    <t xml:space="preserve">$k/yr</t>
  </si>
  <si>
    <t xml:space="preserve">US ~$150k, India ~$15k; global blend ~$75k</t>
  </si>
  <si>
    <t xml:space="preserve">sal_pro</t>
  </si>
  <si>
    <t xml:space="preserve">Avg salary - professionals ($k/yr, global blend)</t>
  </si>
  <si>
    <t xml:space="preserve">global blend; US-only ~$100-120k</t>
  </si>
  <si>
    <t xml:space="preserve">sal_gen</t>
  </si>
  <si>
    <t xml:space="preserve">Avg salary - general KW ($k/yr, global blend)</t>
  </si>
  <si>
    <t xml:space="preserve">global blend incl. EM</t>
  </si>
  <si>
    <t xml:space="preserve">Penetration</t>
  </si>
  <si>
    <t xml:space="preserve">pen_dev</t>
  </si>
  <si>
    <t xml:space="preserve">Paid-AI penetration - developers</t>
  </si>
  <si>
    <t xml:space="preserve">%</t>
  </si>
  <si>
    <t xml:space="preserve">2026: ~10-12M paid (GitHub Copilot 4.7M, Cursor, Claude Code, Codex) of ~30M = ~35-40%</t>
  </si>
  <si>
    <t xml:space="preserve">pen_pro</t>
  </si>
  <si>
    <t xml:space="preserve">Paid-AI penetration - professionals</t>
  </si>
  <si>
    <t xml:space="preserve">2026: ~35-40M paid seats globally (M365 Copilot 20M, ChatGPT biz 9M, Claude, Gemini) = ~4% of all KW, ~10% of pros</t>
  </si>
  <si>
    <t xml:space="preserve">pen_gen</t>
  </si>
  <si>
    <t xml:space="preserve">Paid-AI penetration - general KW</t>
  </si>
  <si>
    <t xml:space="preserve">seat-type products ($20-30/mo); Copilot bundling drives this</t>
  </si>
  <si>
    <t xml:space="preserve">Spend</t>
  </si>
  <si>
    <t xml:space="preserve">ratio_dev</t>
  </si>
  <si>
    <t xml:space="preserve">AI spend / salary - developers</t>
  </si>
  <si>
    <t xml:space="preserve">Base $12.6k/dev/yr is what the v3 revenue needs; 2026: Claude Code enterprise avg $150-250/mo = $1.8-3k/yr; heavy agent users &gt;$1k/mo</t>
  </si>
  <si>
    <t xml:space="preserve">ratio_pro</t>
  </si>
  <si>
    <t xml:space="preserve">AI spend / salary - professionals</t>
  </si>
  <si>
    <t xml:space="preserve">Base $2.7k/seat; 2026: M365 Copilot $360/yr; ChatGPT Enterprise ~$600-900/yr incl. usage; Atlanta Fed avg AI spend/employee $2,068 (all AI)</t>
  </si>
  <si>
    <t xml:space="preserve">ratio_gen</t>
  </si>
  <si>
    <t xml:space="preserve">AI spend / salary - general KW</t>
  </si>
  <si>
    <t xml:space="preserve">Base $420/seat; 2026: Copilot $360/yr; ChatGPT Business $25-30/seat</t>
  </si>
  <si>
    <t xml:space="preserve">Share</t>
  </si>
  <si>
    <t xml:space="preserve">sh_dev_ant</t>
  </si>
  <si>
    <t xml:space="preserve">Anthropic share - developer spend</t>
  </si>
  <si>
    <t xml:space="preserve">Base = $205B of a $450B pool; 2026: Claude Code $8B ARR (May-26) + Claude inside Cursor/Copilot; Menlo: Anthropic ~54% of coding model spend</t>
  </si>
  <si>
    <t xml:space="preserve">sh_dev_oai</t>
  </si>
  <si>
    <t xml:space="preserve">OpenAI share - developer spend</t>
  </si>
  <si>
    <t xml:space="preserve">Base = $78B; Codex 2M+ weekly users (Mar-26); GPT-5.x in Cursor/Copilot</t>
  </si>
  <si>
    <t xml:space="preserve">sh_pro_ant</t>
  </si>
  <si>
    <t xml:space="preserve">Anthropic share - professional seats</t>
  </si>
  <si>
    <t xml:space="preserve">Base = $55B of a $297B pool; Claude Enterprise/Team/Cowork + Bedrock/Vertex/Foundry</t>
  </si>
  <si>
    <t xml:space="preserve">sh_pro_oai</t>
  </si>
  <si>
    <t xml:space="preserve">OpenAI share - professional seats</t>
  </si>
  <si>
    <t xml:space="preserve">Base = $68B; 2026: 7M enterprise seats, 9M paying business users, &gt;1M business customers</t>
  </si>
  <si>
    <t xml:space="preserve">sh_gen_ant</t>
  </si>
  <si>
    <t xml:space="preserve">Anthropic share - general seats</t>
  </si>
  <si>
    <t xml:space="preserve">Base = $8B of a $100B pool; mostly model-layer share of Copilot-type bundles</t>
  </si>
  <si>
    <t xml:space="preserve">sh_gen_oai</t>
  </si>
  <si>
    <t xml:space="preserve">OpenAI share - general seats</t>
  </si>
  <si>
    <t xml:space="preserve">Base = $18B; ChatGPT Business/Edu; Copilot uses OpenAI models (rev share)</t>
  </si>
  <si>
    <t xml:space="preserve">Machine</t>
  </si>
  <si>
    <t xml:space="preserve">auto_pool</t>
  </si>
  <si>
    <t xml:space="preserve">Labour cost pool of AI-automatable digital tasks ($T)</t>
  </si>
  <si>
    <t xml:space="preserve">$T</t>
  </si>
  <si>
    <t xml:space="preserve">global labour comp ~$58T (2025); knowledge-work comp $35-50T; ~15-20% is task-automatable</t>
  </si>
  <si>
    <t xml:space="preserve">auto_share</t>
  </si>
  <si>
    <t xml:space="preserve">Share of that pool automated by AI agents in 2030</t>
  </si>
  <si>
    <t xml:space="preserve">2026: customer-service and coding agents are the only scaled cases</t>
  </si>
  <si>
    <t xml:space="preserve">auto_capture</t>
  </si>
  <si>
    <t xml:space="preserve">Vendor capture ($ AI spend per $ labour displaced)</t>
  </si>
  <si>
    <t xml:space="preserve">Claude Code $2-3k/yr vs $20-40k of dev output = ~10%; SaaS captures 10-30% of value</t>
  </si>
  <si>
    <t xml:space="preserve">sh_auto_ant</t>
  </si>
  <si>
    <t xml:space="preserve">Anthropic share - machine API (BASE SOLVED so total = v3)</t>
  </si>
  <si>
    <t xml:space="preserve">Base is a formula: (v3 2030 revenue - all other Anthropic segments) / machine pool. 2026 anchor: Menlo, Anthropic ~32-40% of enterprise LLM API spend</t>
  </si>
  <si>
    <t xml:space="preserve">sh_auto_oai</t>
  </si>
  <si>
    <t xml:space="preserve">OpenAI share - machine API (BASE SOLVED so total = v3)</t>
  </si>
  <si>
    <t xml:space="preserve">Base is a formula: (v3 2030 revenue - all other OpenAI segments) / machine pool. 2026 anchor: API ~15-20% of OpenAI revenue; Menlo ~25% of API spend</t>
  </si>
  <si>
    <t xml:space="preserve">Consumer OAI</t>
  </si>
  <si>
    <t xml:space="preserve">oai_mau</t>
  </si>
  <si>
    <t xml:space="preserve">ChatGPT MAU 2030 (M)</t>
  </si>
  <si>
    <t xml:space="preserve">1B MAU (Jun-26), ~1B WAU (Jul-26); internet users ~5.6B-&gt;6B; Meta DAP 3.58B</t>
  </si>
  <si>
    <t xml:space="preserve">oai_conv</t>
  </si>
  <si>
    <t xml:space="preserve">Paid conversion (subs / MAU)</t>
  </si>
  <si>
    <t xml:space="preserve">&gt;50M consumer subs / ~1B = ~5% (Aug-26); India Go free promo dilutes</t>
  </si>
  <si>
    <t xml:space="preserve">oai_arpu</t>
  </si>
  <si>
    <t xml:space="preserve">Paid ARPU ($/month, blended)</t>
  </si>
  <si>
    <t xml:space="preserve">$/mo</t>
  </si>
  <si>
    <t xml:space="preserve">Go $8 (US)/Rs399 (India), Plus $20, Pro $200 (~0.5M subs); blended est. $25-30 in 2026, skewing down with EM mix</t>
  </si>
  <si>
    <t xml:space="preserve">oai_ad_arpu</t>
  </si>
  <si>
    <t xml:space="preserve">Ads ARPU per FREE user ($/yr)</t>
  </si>
  <si>
    <t xml:space="preserve">$/yr</t>
  </si>
  <si>
    <t xml:space="preserve">Base $40 = ~50% of Meta's 2030 ARPP (~$80); Meta ARPP 2025 $58 global; Google Search ~$60-70/user; OpenAI plan $100B ads by 2030 = ~$50/free user; ads $1B run-rate &lt;200 days after Feb-26 launch</t>
  </si>
  <si>
    <t xml:space="preserve">oai_gmv</t>
  </si>
  <si>
    <t xml:space="preserve">Commerce GMV routed via ChatGPT ($B)</t>
  </si>
  <si>
    <t xml:space="preserve">$B</t>
  </si>
  <si>
    <t xml:space="preserve">Instant Checkout (Sep-25); global e-commerce ~$7T by 2030</t>
  </si>
  <si>
    <t xml:space="preserve">oai_take</t>
  </si>
  <si>
    <t xml:space="preserve">Commerce take rate</t>
  </si>
  <si>
    <t xml:space="preserve">affiliate/checkout take rates 2-4%</t>
  </si>
  <si>
    <t xml:space="preserve">Consumer ANT</t>
  </si>
  <si>
    <t xml:space="preserve">ant_mau</t>
  </si>
  <si>
    <t xml:space="preserve">Claude consumer MAU 2030 (M)</t>
  </si>
  <si>
    <t xml:space="preserve">2026 est. 30-140M (third-party, unreliable); consumer ~5-10% of revenue</t>
  </si>
  <si>
    <t xml:space="preserve">ant_conv</t>
  </si>
  <si>
    <t xml:space="preserve">professional skew; Max tiers</t>
  </si>
  <si>
    <t xml:space="preserve">ant_arpu</t>
  </si>
  <si>
    <t xml:space="preserve">Pro $20, Max $100/$200</t>
  </si>
  <si>
    <t xml:space="preserve">Other</t>
  </si>
  <si>
    <t xml:space="preserve">oai_other</t>
  </si>
  <si>
    <t xml:space="preserve">OpenAI other (devices, licensing, gov, media) ($B)</t>
  </si>
  <si>
    <t xml:space="preserve">io hardware, Sora, sovereign deals, MSFT rev share</t>
  </si>
  <si>
    <t xml:space="preserve">ant_other</t>
  </si>
  <si>
    <t xml:space="preserve">Anthropic other (gov/sovereign, licensing, reseller minimums) ($B)</t>
  </si>
  <si>
    <t xml:space="preserve">defense/gov, Amazon/Alexa, Apple</t>
  </si>
  <si>
    <t xml:space="preserve">Supply OAI</t>
  </si>
  <si>
    <t xml:space="preserve">oai_gw_avg</t>
  </si>
  <si>
    <t xml:space="preserve">OpenAI average in-year total capacity 2030 (GW)</t>
  </si>
  <si>
    <t xml:space="preserve">GW</t>
  </si>
  <si>
    <t xml:space="preserve">Base = v3 OpenAI_breakeven_model_MBI_vBTG_v3.xlsx Model!I29 (year-end 22.1 GW after the 26.4% budget haircut on the 30 GW path); bull = full stated path avg(25,30)</t>
  </si>
  <si>
    <t xml:space="preserve">oai_inf_share_avg</t>
  </si>
  <si>
    <t xml:space="preserve">OpenAI inference share of average capacity 2030</t>
  </si>
  <si>
    <t xml:space="preserve">Base = v3 avg inference GW / avg total GW (OpenAI_breakeven_model_MBI_vBTG_v3.xlsx Model!I26 / I29); year-end allocation 55% inference / 33% training / 12% alignment</t>
  </si>
  <si>
    <t xml:space="preserve">oai_yield_inf</t>
  </si>
  <si>
    <t xml:space="preserve">OpenAI revenue per average inference GW-year 2030 ($B)</t>
  </si>
  <si>
    <t xml:space="preserve">Base = v3 OpenAI_breakeven_model_MBI_vBTG_v3.xlsx Model!I101 (breakeven yield); 2026E $27.1B (E101); exit-ARR yield 2026E $32.9B</t>
  </si>
  <si>
    <t xml:space="preserve">oai_cost_inf_gw</t>
  </si>
  <si>
    <t xml:space="preserve">OpenAI inference compute cost per GW-year 2030 ($B)</t>
  </si>
  <si>
    <t xml:space="preserve">Base = v3 OpenAI_breakeven_model_MBI_vBTG_v3.xlsx Model!I62 (blend of Azure $12B, Oracle $13.3B, AWS $8-10B, owned chips ~$10.5B)</t>
  </si>
  <si>
    <t xml:space="preserve">oai_other_cor</t>
  </si>
  <si>
    <t xml:space="preserve">OpenAI other cost of revenue, % of revenue 2030</t>
  </si>
  <si>
    <t xml:space="preserve">v3 Model!I71 = 3.0% (payments, app-store fees, support, non-compute hosting)</t>
  </si>
  <si>
    <t xml:space="preserve">Supply ANT</t>
  </si>
  <si>
    <t xml:space="preserve">ant_gw_avg</t>
  </si>
  <si>
    <t xml:space="preserve">Anthropic average in-year total capacity 2030 (GW)</t>
  </si>
  <si>
    <t xml:space="preserve">Base = v3 Anthropic_model_MBI_vBTG_v3.xlsx Model!I29 (stated path 20 -&gt; 25 GW year-end, no haircut)</t>
  </si>
  <si>
    <t xml:space="preserve">ant_inf_share_avg</t>
  </si>
  <si>
    <t xml:space="preserve">Anthropic inference share of average capacity 2030</t>
  </si>
  <si>
    <t xml:space="preserve">Base = v3 avg inference GW / avg total GW (Anthropic_model_MBI_vBTG_v3.xlsx Model!I26 / I29); year-end allocation 55% / 33% / 12%</t>
  </si>
  <si>
    <t xml:space="preserve">ant_yield_inf</t>
  </si>
  <si>
    <t xml:space="preserve">Anthropic revenue per average inference GW-year 2030 ($B)</t>
  </si>
  <si>
    <t xml:space="preserve">Base = v3 Anthropic_model_MBI_vBTG_v3.xlsx Model!I88: 2026E $40.2B then -6%/yr 2027-29 and -5.3% in 2030; v3 breakeven yield memo $30.1B (I94)</t>
  </si>
  <si>
    <t xml:space="preserve">ant_cost_inf_gw</t>
  </si>
  <si>
    <t xml:space="preserve">Anthropic inference compute cost per GW-year 2030 ($B)</t>
  </si>
  <si>
    <t xml:space="preserve">Base = v3 Anthropic_model_MBI_vBTG_v3.xlsx Model!I62 (held at $12B from 2027; blended stack ~$10B)</t>
  </si>
  <si>
    <t xml:space="preserve">ant_other_cor</t>
  </si>
  <si>
    <t xml:space="preserve">Anthropic other cost of revenue, % of revenue 2030</t>
  </si>
  <si>
    <t xml:space="preserve">v3 Model!I71 = 3.0%</t>
  </si>
  <si>
    <t xml:space="preserve">Supply shared</t>
  </si>
  <si>
    <t xml:space="preserve">tok_per_gw</t>
  </si>
  <si>
    <t xml:space="preserve">Tokens per GW-year at 100% util (quadrillion) - decomposition memo</t>
  </si>
  <si>
    <t xml:space="preserve">1e15 tokens</t>
  </si>
  <si>
    <t xml:space="preserve">OpenAI 2026: ~15-20 quadrillion tok/yr on ~1.5-2GW inference; Google 38 quadrillion/yr (3.2q/mo, May-26); Rubin 2-4x GB300</t>
  </si>
  <si>
    <t xml:space="preserve">util</t>
  </si>
  <si>
    <t xml:space="preserve">Inference fleet utilisation - decomposition memo</t>
  </si>
  <si>
    <t xml:space="preserve">peak/off-peak; batch jobs fill valleys. Implied realised $/M tokens = yield / (tokens x util)</t>
  </si>
  <si>
    <t xml:space="preserve">Deck</t>
  </si>
  <si>
    <t xml:space="preserve">deck_gw</t>
  </si>
  <si>
    <t xml:space="preserve">Deck: total GW per company (2030)</t>
  </si>
  <si>
    <t xml:space="preserve">deck assumption; v3 uses avg in-year 20.2 GW (OpenAI, after haircut) and 22.5 GW (Anthropic)</t>
  </si>
  <si>
    <t xml:space="preserve">deck_inf_share</t>
  </si>
  <si>
    <t xml:space="preserve">Deck: share of capacity allocated to inference</t>
  </si>
  <si>
    <t xml:space="preserve">deck assumption 50-55%; v3 year-end 55%, in-year average 54.1%</t>
  </si>
  <si>
    <t xml:space="preserve">deck_rgw_inf</t>
  </si>
  <si>
    <t xml:space="preserve">Deck: revenue per GW of inference ($B/yr)</t>
  </si>
  <si>
    <t xml:space="preserve">deck assumption $30B; v3: OpenAI breakeven yield $30.9B, Anthropic $35.0B (breakeven memo $30.1B)</t>
  </si>
  <si>
    <t xml:space="preserve">Momentum</t>
  </si>
  <si>
    <t xml:space="preserve">oai_rr26</t>
  </si>
  <si>
    <t xml:space="preserve">OpenAI exit-2026 run-rate ($B)</t>
  </si>
  <si>
    <t xml:space="preserve">Base = v3 OpenAI_breakeven_model_MBI_vBTG_v3.xlsx Model!E105; &gt;$40B run-rate Aug-26 (+35% QTD)</t>
  </si>
  <si>
    <t xml:space="preserve">ant_rr26</t>
  </si>
  <si>
    <t xml:space="preserve">Anthropic exit-2026 run-rate ($B)</t>
  </si>
  <si>
    <t xml:space="preserve">Base = v3 Anthropic_model_MBI_vBTG_v3.xlsx Model!E90; $65B run-rate end-Jul-26</t>
  </si>
  <si>
    <t xml:space="preserve">oai_g27</t>
  </si>
  <si>
    <t xml:space="preserve">OpenAI exit run-rate growth 2027</t>
  </si>
  <si>
    <t xml:space="preserve">Base = v3 exit ARR path (Model!E105:I105)</t>
  </si>
  <si>
    <t xml:space="preserve">oai_g28</t>
  </si>
  <si>
    <t xml:space="preserve">OpenAI exit run-rate growth 2028</t>
  </si>
  <si>
    <t xml:space="preserve">oai_g29</t>
  </si>
  <si>
    <t xml:space="preserve">OpenAI exit run-rate growth 2029</t>
  </si>
  <si>
    <t xml:space="preserve">oai_g30</t>
  </si>
  <si>
    <t xml:space="preserve">OpenAI exit run-rate growth 2030</t>
  </si>
  <si>
    <t xml:space="preserve">ant_g27</t>
  </si>
  <si>
    <t xml:space="preserve">Anthropic exit run-rate growth 2027</t>
  </si>
  <si>
    <t xml:space="preserve">Base = v3 exit ARR path (Model!E90:I90)</t>
  </si>
  <si>
    <t xml:space="preserve">ant_g28</t>
  </si>
  <si>
    <t xml:space="preserve">Anthropic exit run-rate growth 2028</t>
  </si>
  <si>
    <t xml:space="preserve">ant_g29</t>
  </si>
  <si>
    <t xml:space="preserve">Anthropic exit run-rate growth 2029</t>
  </si>
  <si>
    <t xml:space="preserve">ant_g30</t>
  </si>
  <si>
    <t xml:space="preserve">Anthropic exit run-rate growth 2030</t>
  </si>
  <si>
    <t xml:space="preserve">v3 reference</t>
  </si>
  <si>
    <t xml:space="preserve">v3_oai_rev_2030</t>
  </si>
  <si>
    <t xml:space="preserve">v3 OpenAI: calendar revenue 2030 ($B)</t>
  </si>
  <si>
    <t xml:space="preserve">OpenAI_breakeven_model_MBI_vBTG_v3.xlsx Model!I100</t>
  </si>
  <si>
    <t xml:space="preserve">v3_oai_rev_2026</t>
  </si>
  <si>
    <t xml:space="preserve">v3 OpenAI: calendar revenue 2026E ($B)</t>
  </si>
  <si>
    <t xml:space="preserve">OpenAI_breakeven_model_MBI_vBTG_v3.xlsx Model!E100</t>
  </si>
  <si>
    <t xml:space="preserve">v3_oai_exit_arr_2030</t>
  </si>
  <si>
    <t xml:space="preserve">v3 OpenAI: exit run-rate ARR 2030 ($B)</t>
  </si>
  <si>
    <t xml:space="preserve">OpenAI_breakeven_model_MBI_vBTG_v3.xlsx Model!I105</t>
  </si>
  <si>
    <t xml:space="preserve">v3_oai_exit_arr_2026</t>
  </si>
  <si>
    <t xml:space="preserve">v3 OpenAI: exit run-rate ARR 2026E ($B)</t>
  </si>
  <si>
    <t xml:space="preserve">OpenAI_breakeven_model_MBI_vBTG_v3.xlsx Model!E105</t>
  </si>
  <si>
    <t xml:space="preserve">v3_oai_gw_avg_total_2030</t>
  </si>
  <si>
    <t xml:space="preserve">v3 OpenAI: average in-year total capacity 2030 (GW)</t>
  </si>
  <si>
    <t xml:space="preserve">OpenAI_breakeven_model_MBI_vBTG_v3.xlsx Model!I29</t>
  </si>
  <si>
    <t xml:space="preserve">v3_oai_gw_ye_2030</t>
  </si>
  <si>
    <t xml:space="preserve">v3 OpenAI: year-end capacity 2030 (GW)</t>
  </si>
  <si>
    <t xml:space="preserve">OpenAI_breakeven_model_MBI_vBTG_v3.xlsx Model!I7</t>
  </si>
  <si>
    <t xml:space="preserve">v3_oai_gw_avg_inf_2030</t>
  </si>
  <si>
    <t xml:space="preserve">v3 OpenAI: average in-year inference capacity 2030 (GW)</t>
  </si>
  <si>
    <t xml:space="preserve">OpenAI_breakeven_model_MBI_vBTG_v3.xlsx Model!I26</t>
  </si>
  <si>
    <t xml:space="preserve">v3_oai_inf_share_avg_2030</t>
  </si>
  <si>
    <t xml:space="preserve">v3 OpenAI: inference share of average capacity 2030</t>
  </si>
  <si>
    <t xml:space="preserve">OpenAI_breakeven_model_MBI_vBTG_v3.xlsx Model!I26/I29</t>
  </si>
  <si>
    <t xml:space="preserve">v3_oai_inf_share_ye_2030</t>
  </si>
  <si>
    <t xml:space="preserve">v3 OpenAI: inference share, year-end 2030</t>
  </si>
  <si>
    <t xml:space="preserve">OpenAI_breakeven_model_MBI_vBTG_v3.xlsx Model!I15</t>
  </si>
  <si>
    <t xml:space="preserve">v3_oai_yield_inf_2030</t>
  </si>
  <si>
    <t xml:space="preserve">v3 OpenAI: revenue per average inference GW-year 2030 ($B)</t>
  </si>
  <si>
    <t xml:space="preserve">OpenAI_breakeven_model_MBI_vBTG_v3.xlsx Model!I101</t>
  </si>
  <si>
    <t xml:space="preserve">v3_oai_rev_per_total_gw_2030</t>
  </si>
  <si>
    <t xml:space="preserve">v3 OpenAI: revenue per average total GW-year 2030 ($B)</t>
  </si>
  <si>
    <t xml:space="preserve">OpenAI_breakeven_model_MBI_vBTG_v3.xlsx Model!I104</t>
  </si>
  <si>
    <t xml:space="preserve">v3_oai_inf_cost_per_gw_2030</t>
  </si>
  <si>
    <t xml:space="preserve">v3 OpenAI: inference compute cost per GW-year 2030 ($B)</t>
  </si>
  <si>
    <t xml:space="preserve">OpenAI_breakeven_model_MBI_vBTG_v3.xlsx Model!I62</t>
  </si>
  <si>
    <t xml:space="preserve">v3_oai_gross_margin_2030</t>
  </si>
  <si>
    <t xml:space="preserve">v3 OpenAI: gross margin 2030</t>
  </si>
  <si>
    <t xml:space="preserve">OpenAI_breakeven_model_MBI_vBTG_v3.xlsx Model!I119</t>
  </si>
  <si>
    <t xml:space="preserve">v3_oai_ebit_2030</t>
  </si>
  <si>
    <t xml:space="preserve">v3 OpenAI: EBIT 2030 ($B)</t>
  </si>
  <si>
    <t xml:space="preserve">OpenAI_breakeven_model_MBI_vBTG_v3.xlsx Model!I128</t>
  </si>
  <si>
    <t xml:space="preserve">v3_oai_total_compute_2030</t>
  </si>
  <si>
    <t xml:space="preserve">v3 OpenAI: total compute cost 2030 ($B)</t>
  </si>
  <si>
    <t xml:space="preserve">OpenAI_breakeven_model_MBI_vBTG_v3.xlsx Model!I133</t>
  </si>
  <si>
    <t xml:space="preserve">v3_oai_yield_inf_2026</t>
  </si>
  <si>
    <t xml:space="preserve">v3 OpenAI: revenue per average inference GW-year 2026E ($B)</t>
  </si>
  <si>
    <t xml:space="preserve">OpenAI_breakeven_model_MBI_vBTG_v3.xlsx Model!E101</t>
  </si>
  <si>
    <t xml:space="preserve">v3_ant_rev_2030</t>
  </si>
  <si>
    <t xml:space="preserve">v3 Anthropic: calendar revenue 2030 ($B)</t>
  </si>
  <si>
    <t xml:space="preserve">Anthropic_model_MBI_vBTG_v3.xlsx Model!I89</t>
  </si>
  <si>
    <t xml:space="preserve">v3_ant_rev_2026</t>
  </si>
  <si>
    <t xml:space="preserve">v3 Anthropic: calendar revenue 2026E ($B)</t>
  </si>
  <si>
    <t xml:space="preserve">Anthropic_model_MBI_vBTG_v3.xlsx Model!E89</t>
  </si>
  <si>
    <t xml:space="preserve">v3_ant_exit_arr_2030</t>
  </si>
  <si>
    <t xml:space="preserve">v3 Anthropic: exit run-rate ARR 2030 ($B)</t>
  </si>
  <si>
    <t xml:space="preserve">Anthropic_model_MBI_vBTG_v3.xlsx Model!I90</t>
  </si>
  <si>
    <t xml:space="preserve">v3_ant_exit_arr_2026</t>
  </si>
  <si>
    <t xml:space="preserve">v3 Anthropic: exit run-rate ARR 2026E ($B)</t>
  </si>
  <si>
    <t xml:space="preserve">Anthropic_model_MBI_vBTG_v3.xlsx Model!E90</t>
  </si>
  <si>
    <t xml:space="preserve">v3_ant_gw_avg_total_2030</t>
  </si>
  <si>
    <t xml:space="preserve">v3 Anthropic: average in-year total capacity 2030 (GW)</t>
  </si>
  <si>
    <t xml:space="preserve">Anthropic_model_MBI_vBTG_v3.xlsx Model!I29</t>
  </si>
  <si>
    <t xml:space="preserve">v3_ant_gw_ye_2030</t>
  </si>
  <si>
    <t xml:space="preserve">v3 Anthropic: year-end capacity 2030 (GW)</t>
  </si>
  <si>
    <t xml:space="preserve">Anthropic_model_MBI_vBTG_v3.xlsx Model!I7</t>
  </si>
  <si>
    <t xml:space="preserve">v3_ant_gw_avg_inf_2030</t>
  </si>
  <si>
    <t xml:space="preserve">v3 Anthropic: average in-year inference capacity 2030 (GW)</t>
  </si>
  <si>
    <t xml:space="preserve">Anthropic_model_MBI_vBTG_v3.xlsx Model!I26</t>
  </si>
  <si>
    <t xml:space="preserve">v3_ant_inf_share_avg_2030</t>
  </si>
  <si>
    <t xml:space="preserve">v3 Anthropic: inference share of average capacity 2030</t>
  </si>
  <si>
    <t xml:space="preserve">Anthropic_model_MBI_vBTG_v3.xlsx Model!I26/I29</t>
  </si>
  <si>
    <t xml:space="preserve">v3_ant_inf_share_ye_2030</t>
  </si>
  <si>
    <t xml:space="preserve">v3 Anthropic: inference share, year-end 2030</t>
  </si>
  <si>
    <t xml:space="preserve">Anthropic_model_MBI_vBTG_v3.xlsx Model!I15</t>
  </si>
  <si>
    <t xml:space="preserve">v3_ant_yield_inf_2030</t>
  </si>
  <si>
    <t xml:space="preserve">v3 Anthropic: revenue per average inference GW-year 2030 ($B)</t>
  </si>
  <si>
    <t xml:space="preserve">Anthropic_model_MBI_vBTG_v3.xlsx Model!I88</t>
  </si>
  <si>
    <t xml:space="preserve">v3_ant_rev_per_total_gw_2030</t>
  </si>
  <si>
    <t xml:space="preserve">v3 Anthropic: revenue per average total GW-year 2030 ($B)</t>
  </si>
  <si>
    <t xml:space="preserve">Anthropic_model_MBI_vBTG_v3.xlsx Model!I93</t>
  </si>
  <si>
    <t xml:space="preserve">v3_ant_inf_cost_per_gw_2030</t>
  </si>
  <si>
    <t xml:space="preserve">v3 Anthropic: inference compute cost per GW-year 2030 ($B)</t>
  </si>
  <si>
    <t xml:space="preserve">Anthropic_model_MBI_vBTG_v3.xlsx Model!I62</t>
  </si>
  <si>
    <t xml:space="preserve">v3_ant_gross_margin_2030</t>
  </si>
  <si>
    <t xml:space="preserve">v3 Anthropic: gross margin 2030</t>
  </si>
  <si>
    <t xml:space="preserve">Anthropic_model_MBI_vBTG_v3.xlsx Model!I107</t>
  </si>
  <si>
    <t xml:space="preserve">v3_ant_ebit_2030</t>
  </si>
  <si>
    <t xml:space="preserve">v3 Anthropic: EBIT 2030 ($B)</t>
  </si>
  <si>
    <t xml:space="preserve">Anthropic_model_MBI_vBTG_v3.xlsx Model!I116</t>
  </si>
  <si>
    <t xml:space="preserve">v3_ant_total_compute_2030</t>
  </si>
  <si>
    <t xml:space="preserve">v3 Anthropic: total compute cost 2030 ($B)</t>
  </si>
  <si>
    <t xml:space="preserve">Anthropic_model_MBI_vBTG_v3.xlsx Model!I122</t>
  </si>
  <si>
    <t xml:space="preserve">v3_ant_yield_inf_2026</t>
  </si>
  <si>
    <t xml:space="preserve">v3 Anthropic: revenue per average inference GW-year 2026E ($B)</t>
  </si>
  <si>
    <t xml:space="preserve">Anthropic_model_MBI_vBTG_v3.xlsx Model!E88</t>
  </si>
  <si>
    <t xml:space="preserve">OpenAI - 2030 revenue, bottom-up ($B unless stated). Base column = MBI vBTG v3.</t>
  </si>
  <si>
    <t xml:space="preserve">Green = link to Inputs; black = formula; blue = hardcoded (2026E mix split, targets, constants).</t>
  </si>
  <si>
    <t xml:space="preserve">Formula / note</t>
  </si>
  <si>
    <t xml:space="preserve">Global pools (all vendors) - shared with the other company</t>
  </si>
  <si>
    <t xml:space="preserve">Spend per paid seat - developers</t>
  </si>
  <si>
    <t xml:space="preserve">salary x AI spend ratio</t>
  </si>
  <si>
    <t xml:space="preserve">Spend per paid seat - professionals</t>
  </si>
  <si>
    <t xml:space="preserve">Spend per paid seat - general KW</t>
  </si>
  <si>
    <t xml:space="preserve">Paid developer seats</t>
  </si>
  <si>
    <t xml:space="preserve">M</t>
  </si>
  <si>
    <t xml:space="preserve">workers x penetration</t>
  </si>
  <si>
    <t xml:space="preserve">Paid professional seats</t>
  </si>
  <si>
    <t xml:space="preserve">Paid general KW seats</t>
  </si>
  <si>
    <t xml:space="preserve">Developer AI spend pool</t>
  </si>
  <si>
    <t xml:space="preserve">seats (M) x $/seat / 1000</t>
  </si>
  <si>
    <t xml:space="preserve">Professional AI spend pool</t>
  </si>
  <si>
    <t xml:space="preserve">General KW AI spend pool</t>
  </si>
  <si>
    <t xml:space="preserve">Machine / agent API pool</t>
  </si>
  <si>
    <t xml:space="preserve">labour pool ($T) x automated share x vendor capture</t>
  </si>
  <si>
    <t xml:space="preserve">Total enterprise AI pool (all vendors)</t>
  </si>
  <si>
    <t xml:space="preserve">OpenAI revenue 2030 by segment</t>
  </si>
  <si>
    <t xml:space="preserve">Developers / coding agents</t>
  </si>
  <si>
    <t xml:space="preserve">pool x company share</t>
  </si>
  <si>
    <t xml:space="preserve">Professional seats</t>
  </si>
  <si>
    <t xml:space="preserve">General KW seats</t>
  </si>
  <si>
    <t xml:space="preserve">Machine / agent API</t>
  </si>
  <si>
    <t xml:space="preserve">Base share is SOLVED on Inputs so that the total equals v3</t>
  </si>
  <si>
    <t xml:space="preserve">Consumer subscriptions</t>
  </si>
  <si>
    <t xml:space="preserve">MAU x paid conversion x ARPU x 12</t>
  </si>
  <si>
    <t xml:space="preserve">Consumer ads</t>
  </si>
  <si>
    <t xml:space="preserve">free MAU x ads ARPU</t>
  </si>
  <si>
    <t xml:space="preserve">Commerce / agentic transactions</t>
  </si>
  <si>
    <t xml:space="preserve">GMV x take rate</t>
  </si>
  <si>
    <t xml:space="preserve">TOTAL REVENUE 2030</t>
  </si>
  <si>
    <t xml:space="preserve">Base = v3 calendar revenue 2030 by construction</t>
  </si>
  <si>
    <t xml:space="preserve">Enterprise subtotal (4 engines)</t>
  </si>
  <si>
    <t xml:space="preserve">Consumer subtotal</t>
  </si>
  <si>
    <t xml:space="preserve">Enterprise share of revenue</t>
  </si>
  <si>
    <t xml:space="preserve">Supply-side check (compute) - v3 mechanics: revenue = average inference GW x yield per inference GW-year</t>
  </si>
  <si>
    <t xml:space="preserve">Average in-year total capacity 2030</t>
  </si>
  <si>
    <t xml:space="preserve">Inference share of average capacity</t>
  </si>
  <si>
    <t xml:space="preserve">Average inference capacity</t>
  </si>
  <si>
    <t xml:space="preserve">GW x share</t>
  </si>
  <si>
    <t xml:space="preserve">Revenue per average inference GW-year (yield)</t>
  </si>
  <si>
    <t xml:space="preserve">$B/GW</t>
  </si>
  <si>
    <t xml:space="preserve">Revenue per average total GW-year</t>
  </si>
  <si>
    <t xml:space="preserve">yield x inference share</t>
  </si>
  <si>
    <t xml:space="preserve">Supply-side revenue = inference GW x yield</t>
  </si>
  <si>
    <t xml:space="preserve">Demand-side revenue (bottom-up)</t>
  </si>
  <si>
    <t xml:space="preserve">Demand / supply</t>
  </si>
  <si>
    <t xml:space="preserve">x</t>
  </si>
  <si>
    <t xml:space="preserve">Base = 1.000x</t>
  </si>
  <si>
    <t xml:space="preserve">Yield needed for the bottom-up at this GW and share</t>
  </si>
  <si>
    <t xml:space="preserve">Inference compute cost per GW-year</t>
  </si>
  <si>
    <t xml:space="preserve">Cost of revenue = inference GW x cost + other CoR</t>
  </si>
  <si>
    <t xml:space="preserve">other CoR % on Inputs (v3: 3%)</t>
  </si>
  <si>
    <t xml:space="preserve">Gross margin (on supply-side revenue)</t>
  </si>
  <si>
    <t xml:space="preserve">Base = v3 gross margin 2030</t>
  </si>
  <si>
    <t xml:space="preserve">Memo: implied realised price at memo tokens/GW and utilisation</t>
  </si>
  <si>
    <t xml:space="preserve">$/M tok</t>
  </si>
  <si>
    <t xml:space="preserve">yield / (tokens per GW-yr x utilisation)</t>
  </si>
  <si>
    <t xml:space="preserve">Momentum path (exit run-rate; calendar revenue = average of consecutive exit run-rates, as in v3)</t>
  </si>
  <si>
    <t xml:space="preserve">Exit-2026 run-rate</t>
  </si>
  <si>
    <t xml:space="preserve">Exit-2027 run-rate</t>
  </si>
  <si>
    <t xml:space="preserve">x (1 + growth 2027)</t>
  </si>
  <si>
    <t xml:space="preserve">Calendar revenue 2027</t>
  </si>
  <si>
    <t xml:space="preserve">average of opening and closing run-rate</t>
  </si>
  <si>
    <t xml:space="preserve">Exit-2028 run-rate</t>
  </si>
  <si>
    <t xml:space="preserve">x (1 + growth 2028)</t>
  </si>
  <si>
    <t xml:space="preserve">Calendar revenue 2028</t>
  </si>
  <si>
    <t xml:space="preserve">Exit-2029 run-rate</t>
  </si>
  <si>
    <t xml:space="preserve">x (1 + growth 2029)</t>
  </si>
  <si>
    <t xml:space="preserve">Calendar revenue 2029</t>
  </si>
  <si>
    <t xml:space="preserve">Exit-2030 run-rate</t>
  </si>
  <si>
    <t xml:space="preserve">x (1 + growth 2030)</t>
  </si>
  <si>
    <t xml:space="preserve">Calendar revenue 2030</t>
  </si>
  <si>
    <t xml:space="preserve">Bottom-up 2030 / momentum calendar 2030</t>
  </si>
  <si>
    <t xml:space="preserve">Bridge: 2026E calendar revenue (v3 total; our segment split, $B) -&gt; 2030 (multiple per scenario; CAGR on Base)</t>
  </si>
  <si>
    <t xml:space="preserve">Segment</t>
  </si>
  <si>
    <t xml:space="preserve">2026E</t>
  </si>
  <si>
    <t xml:space="preserve">Bear x</t>
  </si>
  <si>
    <t xml:space="preserve">Base x</t>
  </si>
  <si>
    <t xml:space="preserve">Bull x</t>
  </si>
  <si>
    <t xml:space="preserve">Custom x</t>
  </si>
  <si>
    <t xml:space="preserve">CAGR (Base, 4 yrs)</t>
  </si>
  <si>
    <t xml:space="preserve">TOTAL</t>
  </si>
  <si>
    <t xml:space="preserve">2026E total = v3 calendar revenue; split is our estimate (blue = editable)</t>
  </si>
  <si>
    <t xml:space="preserve">What you need to believe (targets vs Base structure)</t>
  </si>
  <si>
    <t xml:space="preserve">Target revenue 2030 ($B)</t>
  </si>
  <si>
    <t xml:space="preserve">input</t>
  </si>
  <si>
    <t xml:space="preserve">defaults: $280B = OpenAI's own 2030 plan (Bloomberg); $394B = deck 25 GW x 52.5% x $30B (both editable)</t>
  </si>
  <si>
    <t xml:space="preserve">Target vs Base (v3) revenue</t>
  </si>
  <si>
    <t xml:space="preserve">Implied yield per inference GW at Base GW and share</t>
  </si>
  <si>
    <t xml:space="preserve">target / Base average inference GW</t>
  </si>
  <si>
    <t xml:space="preserve">Implied average GW at Base yield and share</t>
  </si>
  <si>
    <t xml:space="preserve">Implied GW at deck economics ($/GW-inf x inference share, Inputs Base)</t>
  </si>
  <si>
    <t xml:space="preserve">target / ($30B x 52.5%)</t>
  </si>
  <si>
    <t xml:space="preserve">Required uplift on enterprise engines vs Base</t>
  </si>
  <si>
    <t xml:space="preserve">consumer + other held at Base</t>
  </si>
  <si>
    <t xml:space="preserve">...if only developer spend/salary moves</t>
  </si>
  <si>
    <t xml:space="preserve">vs Base ratio on Inputs</t>
  </si>
  <si>
    <t xml:space="preserve">...if only machine-API automated share moves</t>
  </si>
  <si>
    <t xml:space="preserve">Target as % of global enterprise AI pool (Base)</t>
  </si>
  <si>
    <t xml:space="preserve">Target as % of global labour compensation ($B) =</t>
  </si>
  <si>
    <t xml:space="preserve">~$58T 2025 growing to ~$65T</t>
  </si>
  <si>
    <t xml:space="preserve">Target as % of global software spend ($B) =</t>
  </si>
  <si>
    <t xml:space="preserve">Gartner $1.47T 2026 -&gt; ~$2.4T 2030</t>
  </si>
  <si>
    <t xml:space="preserve">Anthropic - 2030 revenue, bottom-up ($B unless stated). Base column = MBI vBTG v3.</t>
  </si>
  <si>
    <t xml:space="preserve">Anthropic revenue 2030 by segment</t>
  </si>
  <si>
    <t xml:space="preserve">Anthropic: no ads (stated policy) - hardcoded 0</t>
  </si>
  <si>
    <t xml:space="preserve">not modelled - hardcoded 0</t>
  </si>
  <si>
    <t xml:space="preserve">Deck check: revenue = total GW x share of capacity in inference x revenue per GW of inference, vs the v3 models</t>
  </si>
  <si>
    <t xml:space="preserve">Deck inputs live on Inputs (group 'Deck'); v3 values come from the 'v3 reference' group.</t>
  </si>
  <si>
    <t xml:space="preserve">Deck: total GW per company</t>
  </si>
  <si>
    <t xml:space="preserve">Deck: share of capacity in inference</t>
  </si>
  <si>
    <t xml:space="preserve">Deck: revenue per GW of inference</t>
  </si>
  <si>
    <t xml:space="preserve">Deck revenue = GW x share x $/GW-inference</t>
  </si>
  <si>
    <t xml:space="preserve">Deck implied $/GW of TOTAL capacity</t>
  </si>
  <si>
    <t xml:space="preserve">share x $/GW-inference</t>
  </si>
  <si>
    <t xml:space="preserve">v3 OpenAI: average in-year total GW 2030</t>
  </si>
  <si>
    <t xml:space="preserve">v3 OpenAI: inference share of average capacity</t>
  </si>
  <si>
    <t xml:space="preserve">v3 OpenAI: revenue per average inference GW-year</t>
  </si>
  <si>
    <t xml:space="preserve">v3 OpenAI: calendar revenue 2030</t>
  </si>
  <si>
    <t xml:space="preserve">Deck revenue vs v3 OpenAI revenue</t>
  </si>
  <si>
    <t xml:space="preserve">Deck yield vs v3 OpenAI 2026E yield</t>
  </si>
  <si>
    <t xml:space="preserve">2026E revenue per average inference GW-year</t>
  </si>
  <si>
    <t xml:space="preserve">v3 Anthropic: average in-year total GW 2030</t>
  </si>
  <si>
    <t xml:space="preserve">v3 Anthropic: inference share of average capacity</t>
  </si>
  <si>
    <t xml:space="preserve">v3 Anthropic: revenue per average inference GW-year</t>
  </si>
  <si>
    <t xml:space="preserve">v3 Anthropic: calendar revenue 2030</t>
  </si>
  <si>
    <t xml:space="preserve">Deck revenue vs v3 Anthropic revenue</t>
  </si>
  <si>
    <t xml:space="preserve">Deck yield vs v3 Anthropic 2026E yield</t>
  </si>
  <si>
    <t xml:space="preserve">Gross margin on inference at $8B cost per GW-yr (deck yield)</t>
  </si>
  <si>
    <t xml:space="preserve">owned / custom-silicon compute</t>
  </si>
  <si>
    <t xml:space="preserve">Gross margin on inference at $12B cost per GW-yr (deck yield)</t>
  </si>
  <si>
    <t xml:space="preserve">v3 Anthropic applied cost; OpenAI $11.7B</t>
  </si>
  <si>
    <t xml:space="preserve">Gross margin on inference at $13.3B cost per GW-yr (deck yield)</t>
  </si>
  <si>
    <t xml:space="preserve">rented at Oracle-OpenAI pricing</t>
  </si>
  <si>
    <t xml:space="preserve">Two-way sensitivities (constants read the Base column of Inputs; headers in blue are editable)</t>
  </si>
  <si>
    <t xml:space="preserve">Revenue ($B) = average total GW x inference share (v3 Anthropic Base, Inputs) x yield per inference GW</t>
  </si>
  <si>
    <t xml:space="preserve">avg GW \ $B/GW-inference</t>
  </si>
  <si>
    <t xml:space="preserve">Revenue ($B) at 22.5 average GW = inference share x yield per inference GW</t>
  </si>
  <si>
    <t xml:space="preserve">inference share \ $B/GW-inference</t>
  </si>
  <si>
    <t xml:space="preserve">Yield per inference GW ($B) = tokens/GW-yr (1e15) x realised $/M tokens x utilisation (Base memo)</t>
  </si>
  <si>
    <t xml:space="preserve">q tokens/GW-yr \ $/M tokens</t>
  </si>
  <si>
    <t xml:space="preserve">OpenAI ads revenue ($B) = free MAU (M) x ads ARPU ($/yr)</t>
  </si>
  <si>
    <t xml:space="preserve">free MAU (M) \ $/free user/yr</t>
  </si>
  <si>
    <t xml:space="preserve">OpenAI consumer subscriptions ($B) = MAU (M) x paid conversion x Base ARPU x 12</t>
  </si>
  <si>
    <t xml:space="preserve">MAU (M) \ paid conversion</t>
  </si>
  <si>
    <t xml:space="preserve">Anthropic developer engine ($B) = paid devs (Base: workers x penetration) x spend ($k/dev/yr) x Anthropic share</t>
  </si>
  <si>
    <t xml:space="preserve">$k/dev/yr \ Anthropic share</t>
  </si>
  <si>
    <t xml:space="preserve">Professional-seat global pool ($B) = professionals (Base) x penetration x $/seat</t>
  </si>
  <si>
    <t xml:space="preserve">penetration \ $/seat/yr</t>
  </si>
  <si>
    <t xml:space="preserve">Machine / agent API global pool ($B) = labour pool (Base, $T) x automated share x vendor capture</t>
  </si>
  <si>
    <t xml:space="preserve">automated share \ vendor capture</t>
  </si>
  <si>
    <t xml:space="preserve">Gross margin on inference = 1 - (compute cost per GW-yr / yield per inference GW), before other CoR</t>
  </si>
  <si>
    <t xml:space="preserve">$B yield/GW-inf \ $B cost/GW-yr</t>
  </si>
  <si>
    <t xml:space="preserve">Data anchors and sources (as of 24-Sep-2026; several are press summaries of company disclosures - flagged 'secondary')</t>
  </si>
  <si>
    <t xml:space="preserve">Data point</t>
  </si>
  <si>
    <t xml:space="preserve">Date</t>
  </si>
  <si>
    <t xml:space="preserve">Source</t>
  </si>
  <si>
    <t xml:space="preserve">URL</t>
  </si>
  <si>
    <t xml:space="preserve">BASE CASE: OpenAI breakeven model (MBI vBTG v3) - 2030 calendar revenue $338.1B, avg 20.24 GW, 54.1% inference, $30.89B per inference GW-year, $11.70B inference cost/GW-yr, GM 59.1%, EBIT 0</t>
  </si>
  <si>
    <t xml:space="preserve">OpenAI_breakeven_model_MBI_vBTG_v3.xlsx (Model!I100, I29, I26, I101, I62, I119, I128) - file kept in trabalho/equityresearch/raw/empresas/ai labs, not in the repo</t>
  </si>
  <si>
    <t xml:space="preserve">BASE CASE: Anthropic model (MBI vBTG v3) - 2030 calendar revenue $425.6B, avg 22.5 GW, 54.1% inference, $34.96B per inference GW-year, $12B inference cost/GW-yr, GM 62.7%, EBIT $48.0B</t>
  </si>
  <si>
    <t xml:space="preserve">Anthropic_model_MBI_vBTG_v3.xlsx (Model!I89, I29, I26, I88, I62, I107, I116) - same folder</t>
  </si>
  <si>
    <t xml:space="preserve">v3 2026E anchors: OpenAI calendar $36.5B / exit ARR $60B / 4.05 GW; Anthropic calendar $57B / exit ARR $100B / 5 GW</t>
  </si>
  <si>
    <t xml:space="preserve">v3 Model!E100/E105/E7 and E89/E90/E7</t>
  </si>
  <si>
    <t xml:space="preserve">OpenAI annualised revenue run-rate &gt;$40B; enterprise &gt;50% of mix</t>
  </si>
  <si>
    <t xml:space="preserve">Aug-2026</t>
  </si>
  <si>
    <t xml:space="preserve">press (enterprisedna.co / valueaddvc.com summaries of company statements)</t>
  </si>
  <si>
    <t xml:space="preserve">https://enterprisedna.co/resources/news/openai-enterprise-revenue-overtakes-consumer-40-billion-arr-2026/</t>
  </si>
  <si>
    <t xml:space="preserve">ChatGPT ~1B MAU (Jun-26), ~1B WAU (Jul-26); &gt;50M consumer subs; 9M paying business users; 7M enterprise seats</t>
  </si>
  <si>
    <t xml:space="preserve">Jul/Aug-2026</t>
  </si>
  <si>
    <t xml:space="preserve">demandsage / secondtalent (secondary)</t>
  </si>
  <si>
    <t xml:space="preserve">https://www.demandsage.com/chatgpt-statistics/</t>
  </si>
  <si>
    <t xml:space="preserve">OpenAI forecasts 2030 revenue &gt;$280B; consumer/enterprise ~50/50 by 2030</t>
  </si>
  <si>
    <t xml:space="preserve">20-Feb-2026</t>
  </si>
  <si>
    <t xml:space="preserve">Bloomberg</t>
  </si>
  <si>
    <t xml:space="preserve">https://www.bloomberg.com/news/articles/2026-02-20/openai-forecasts-its-revenue-will-top-280-billion-in-2030</t>
  </si>
  <si>
    <t xml:space="preserve">OpenAI ads plan: $2.5B 2026, $11B 2027, $25B 2028, $53B 2029, $100B 2030</t>
  </si>
  <si>
    <t xml:space="preserve">09-Apr-2026</t>
  </si>
  <si>
    <t xml:space="preserve">Axios</t>
  </si>
  <si>
    <t xml:space="preserve">https://axios.com/2026/04/09/openai-100-billion-in-ad-revenue</t>
  </si>
  <si>
    <t xml:space="preserve">ChatGPT ads: launched 9-Feb-2026 (US Free + Go); $1B run-rate in &lt;200 days; ~$60 CPM</t>
  </si>
  <si>
    <t xml:space="preserve">2026</t>
  </si>
  <si>
    <t xml:space="preserve">press (secondary)</t>
  </si>
  <si>
    <t xml:space="preserve">https://explainx.ai/blog/openai-advertise-in-chatgpt-ads-launch-july-2026</t>
  </si>
  <si>
    <t xml:space="preserve">OpenAI API 15B tokens/min; Codex 2M+ weekly users</t>
  </si>
  <si>
    <t xml:space="preserve">Mar-2026</t>
  </si>
  <si>
    <t xml:space="preserve">OpenAI</t>
  </si>
  <si>
    <t xml:space="preserve">https://openai.com/index/a-business-that-scales-with-the-value-of-intelligence/</t>
  </si>
  <si>
    <t xml:space="preserve">OpenAI compute: 0.2GW (2023) -&gt; 1.9GW (2025) while run-rate $2B -&gt; $20B (~$10B/GW)</t>
  </si>
  <si>
    <t xml:space="preserve">2025</t>
  </si>
  <si>
    <t xml:space="preserve">MBI Deep Dives citing OpenAI</t>
  </si>
  <si>
    <t xml:space="preserve">https://www.mbi-deepdives.com/oai-breakeven/</t>
  </si>
  <si>
    <t xml:space="preserve">OpenAI 30GW target by 2030; compute spend ~$600B -&gt; ~$750B through 2030</t>
  </si>
  <si>
    <t xml:space="preserve">WSJ / DCD (secondary)</t>
  </si>
  <si>
    <t xml:space="preserve">https://www.datacenterdynamics.com/en/news/openai-cuts-projected-compute-spend-to-600bn-by-2030-report/</t>
  </si>
  <si>
    <t xml:space="preserve">Oracle-OpenAI $300B / 5 yrs / 4.5GW (~$13.3B per GW-year)</t>
  </si>
  <si>
    <t xml:space="preserve">Jul/Sep-2025</t>
  </si>
  <si>
    <t xml:space="preserve">The Register</t>
  </si>
  <si>
    <t xml:space="preserve">https://www.theregister.com/2025/07/22/openai_oracle_gpus/</t>
  </si>
  <si>
    <t xml:space="preserve">Anthropic run-rate $65B (end-Jul-26); $47B mid-May; $9B end-2025</t>
  </si>
  <si>
    <t xml:space="preserve">17-Aug-2026</t>
  </si>
  <si>
    <t xml:space="preserve">Bloomberg / TechCrunch / Axios</t>
  </si>
  <si>
    <t xml:space="preserve">https://techcrunch.com/2026/08/17/anthropics-annualized-revenue-surges-to-65b/</t>
  </si>
  <si>
    <t xml:space="preserve">Anthropic run-rate &gt;$30B; &gt;1,000 customers &gt;$1M/yr; multi-GW TPU capacity from 2027</t>
  </si>
  <si>
    <t xml:space="preserve">Apr-2026</t>
  </si>
  <si>
    <t xml:space="preserve">Anthropic</t>
  </si>
  <si>
    <t xml:space="preserve">https://www.anthropic.com/news/google-broadcom-partnership-compute</t>
  </si>
  <si>
    <t xml:space="preserve">Anthropic IPO case: $190-200B revenue in 2028</t>
  </si>
  <si>
    <t xml:space="preserve">14-Aug-2026</t>
  </si>
  <si>
    <t xml:space="preserve">Reuters</t>
  </si>
  <si>
    <t xml:space="preserve">https://www.usnews.com/news/top-news/articles/2026-08-14/exclusive-anthropic-ipo-valuation-hinges-on-190-200-billion-2028-revenue-forecast-sources-say</t>
  </si>
  <si>
    <t xml:space="preserve">Claude Code $8B ARR (May-26); &gt;50% enterprise</t>
  </si>
  <si>
    <t xml:space="preserve">May-2026</t>
  </si>
  <si>
    <t xml:space="preserve">https://aibusinessweekly.net/p/claude-code-statistics</t>
  </si>
  <si>
    <t xml:space="preserve">Claude Code cost: avg ~$6/dev/day; 90% of users &lt;$12/day; enterprise avg $150-250/dev/month</t>
  </si>
  <si>
    <t xml:space="preserve">Anthropic docs / morphllm</t>
  </si>
  <si>
    <t xml:space="preserve">https://code.claude.com/docs/en/costs</t>
  </si>
  <si>
    <t xml:space="preserve">Claude pricing: Pro $20, Max $100/$200, Team $25 std / $125 premium, Enterprise ~$20/seat + usage</t>
  </si>
  <si>
    <t xml:space="preserve">Sep-2026</t>
  </si>
  <si>
    <t xml:space="preserve">https://claude.com/pricing</t>
  </si>
  <si>
    <t xml:space="preserve">ChatGPT Go $8/mo US, Rs399 India (free promo to Dec-26); Plus $20; Pro $200</t>
  </si>
  <si>
    <t xml:space="preserve">https://openai.com/index/introducing-chatgpt-go/</t>
  </si>
  <si>
    <t xml:space="preserve">Meta FY2025 revenue $200.1B; DAP 3.58B; Q4-25 ARPP $16.56 (~$58/yr)</t>
  </si>
  <si>
    <t xml:space="preserve">28-Jan-2026</t>
  </si>
  <si>
    <t xml:space="preserve">Meta IR</t>
  </si>
  <si>
    <t xml:space="preserve">https://investor.atmeta.com/investor-news/press-release-details/2026/Meta-Reports-Fourth-Quarter-and-Full-Year-2025-Results/default.aspx</t>
  </si>
  <si>
    <t xml:space="preserve">Google Search &amp; other ads revenue 2025: $175.8B</t>
  </si>
  <si>
    <t xml:space="preserve">Feb-2026</t>
  </si>
  <si>
    <t xml:space="preserve">Alphabet Q4-25 release</t>
  </si>
  <si>
    <t xml:space="preserve">https://s206.q4cdn.com/479360582/files/doc_financials/2025/q4/2025q4-alphabet-earnings-release.pdf</t>
  </si>
  <si>
    <t xml:space="preserve">Google processes 3.2 quadrillion tokens/month (7x YoY)</t>
  </si>
  <si>
    <t xml:space="preserve">Google I/O 2026</t>
  </si>
  <si>
    <t xml:space="preserve">https://blog.google/innovation-and-ai/sundar-pichai-io-2026/</t>
  </si>
  <si>
    <t xml:space="preserve">M365 Copilot 20M paid seats (Q3 FY26) at $30/seat; 450M M365 commercial seats; GitHub Copilot 4.7M paid</t>
  </si>
  <si>
    <t xml:space="preserve">Jan-Apr 2026</t>
  </si>
  <si>
    <t xml:space="preserve">Microsoft earnings via Directions on Microsoft (secondary)</t>
  </si>
  <si>
    <t xml:space="preserve">https://www.directionsonmicrosoft.com/microsoft-claims-15-million-paid-m365-copilot-seats/</t>
  </si>
  <si>
    <t xml:space="preserve">Cursor $2B+ ARR</t>
  </si>
  <si>
    <t xml:space="preserve">secondtalent (secondary)</t>
  </si>
  <si>
    <t xml:space="preserve">https://www.secondtalent.com/resources/cursor-vs-github-copilot/</t>
  </si>
  <si>
    <t xml:space="preserve">Enterprise LLM API spend share: Anthropic ~32-40%, OpenAI ~25-27%; coding ~54% Anthropic</t>
  </si>
  <si>
    <t xml:space="preserve">2025-26</t>
  </si>
  <si>
    <t xml:space="preserve">Menlo Ventures (via secondary)</t>
  </si>
  <si>
    <t xml:space="preserve">https://medium.com/@david.j.sea/anthropic-just-passed-openai-in-revenue-here-is-why-it-matters-e3dd9bb04069</t>
  </si>
  <si>
    <t xml:space="preserve">AI spend per employee 2026: avg $2,068 (+50% YoY); top decile &gt;$2,800; median &lt;$200</t>
  </si>
  <si>
    <t xml:space="preserve">06-May-2026</t>
  </si>
  <si>
    <t xml:space="preserve">Atlanta Fed</t>
  </si>
  <si>
    <t xml:space="preserve">https://www.atlantafed.org/research-and-data/publications/policy-hub-macroblog/2026/05/06/how-much-firms-spending-on-ai-and-what-will-happen-to-headcounts</t>
  </si>
  <si>
    <t xml:space="preserve">Gartner: IT spend 2026 $6.37T (+14.2%); software $1.468T (+15.5%); AI spending $2.59T (+47%)</t>
  </si>
  <si>
    <t xml:space="preserve">Jul-2026</t>
  </si>
  <si>
    <t xml:space="preserve">Gartner</t>
  </si>
  <si>
    <t xml:space="preserve">https://www.gartner.com/en/newsroom/press-releases/2026-07-27-gartner-forecasts-worldwide-it-spending-to-grow-14-point-2-percent-in-2026-totaling-6-point-37-trillion</t>
  </si>
  <si>
    <t xml:space="preserve">Knowledge workers ~1B+ globally (Gartner); 1.25B information workers (Forrester 2018); global labour comp ~$58T</t>
  </si>
  <si>
    <t xml:space="preserve">various</t>
  </si>
  <si>
    <t xml:space="preserve">Forrester / Gartner / Substrate gist (secondary)</t>
  </si>
  <si>
    <t xml:space="preserve">https://go.forrester.com/blogs/the-global-information-worker-population-swells-to-1-25-billion-in-2018/</t>
  </si>
  <si>
    <t xml:space="preserve">Bain: AI needs $2T annual revenue by 2030; $800B shortfall; ~200GW global AI compute by 2030</t>
  </si>
  <si>
    <t xml:space="preserve">Sep-2025</t>
  </si>
  <si>
    <t xml:space="preserve">Bain &amp; Company</t>
  </si>
  <si>
    <t xml:space="preserve">https://www.bain.com/about/media-center/press-releases/20252/$2-trillion-in-new-revenue-needed-to-fund-ais-scaling-trend---bain--companys-6th-annual-global-technology-report/</t>
  </si>
  <si>
    <t xml:space="preserve">1GW AI data center TCO: ~$38B upfront capex + ~$0.9B/yr opex (servers ~60% of annualised cost)</t>
  </si>
  <si>
    <t xml:space="preserve">Epoch AI</t>
  </si>
  <si>
    <t xml:space="preserve">https://epoch.ai/data-insights/ai-datacenter-cost-breakdown</t>
  </si>
  <si>
    <t xml:space="preserve">Frontier API list prices Sep-2026: Claude Opus 5.5 $4/$20, GPT-6 Sol $2/$10, Gemini 3.8 Flash $0.75/$3.75 per M tokens</t>
  </si>
  <si>
    <t xml:space="preserve">benchlm / developersdigest (secondary)</t>
  </si>
  <si>
    <t xml:space="preserve">https://benchlm.ai/llm-pricing</t>
  </si>
  <si>
    <t xml:space="preserve">Superforecasters: OpenAI+Anthropic combined 2030 run-rate median $300B; 34% prob &gt;$400B; 18% prob &lt;$100B</t>
  </si>
  <si>
    <t xml:space="preserve">Forecasting Research Institute</t>
  </si>
  <si>
    <t xml:space="preserve">https://forecastingresearch.substack.com/p/will-the-ai-boom-continue-forecasting</t>
  </si>
</sst>
</file>

<file path=xl/styles.xml><?xml version="1.0" encoding="utf-8"?>
<styleSheet xmlns="http://schemas.openxmlformats.org/spreadsheetml/2006/main">
  <numFmts count="25">
    <numFmt numFmtId="164" formatCode="General"/>
    <numFmt numFmtId="165" formatCode="#,##0.000;\(#,##0.000\);\-"/>
    <numFmt numFmtId="166" formatCode="#,##0.0;\(#,##0.0\);\-"/>
    <numFmt numFmtId="167" formatCode="0.00\x"/>
    <numFmt numFmtId="168" formatCode="0.000000;\(0.000000\);\-"/>
    <numFmt numFmtId="169" formatCode="0.000"/>
    <numFmt numFmtId="170" formatCode="0.00%"/>
    <numFmt numFmtId="171" formatCode="#,##0"/>
    <numFmt numFmtId="172" formatCode="0.0"/>
    <numFmt numFmtId="173" formatCode="\$#,##0.0"/>
    <numFmt numFmtId="174" formatCode="\$#,##0"/>
    <numFmt numFmtId="175" formatCode="#,##0.0"/>
    <numFmt numFmtId="176" formatCode="0.0%"/>
    <numFmt numFmtId="177" formatCode="0.000\x"/>
    <numFmt numFmtId="178" formatCode="\$0.00"/>
    <numFmt numFmtId="179" formatCode="0.0\x"/>
    <numFmt numFmtId="180" formatCode="0%"/>
    <numFmt numFmtId="181" formatCode="\$0&quot;B/GW-inf&quot;"/>
    <numFmt numFmtId="182" formatCode="0.0&quot; GW&quot;"/>
    <numFmt numFmtId="183" formatCode="\$0.0&quot;/M&quot;"/>
    <numFmt numFmtId="184" formatCode="0\q"/>
    <numFmt numFmtId="185" formatCode="\$0"/>
    <numFmt numFmtId="186" formatCode="\$0\k"/>
    <numFmt numFmtId="187" formatCode="\$#,##0"/>
    <numFmt numFmtId="188" formatCode="\$0.0\B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2EFDA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enterprisedna.co/resources/news/openai-enterprise-revenue-overtakes-consumer-40-billion-arr-2026/" TargetMode="External"/><Relationship Id="rId2" Type="http://schemas.openxmlformats.org/officeDocument/2006/relationships/hyperlink" Target="https://www.demandsage.com/chatgpt-statistics/" TargetMode="External"/><Relationship Id="rId3" Type="http://schemas.openxmlformats.org/officeDocument/2006/relationships/hyperlink" Target="https://www.bloomberg.com/news/articles/2026-02-20/openai-forecasts-its-revenue-will-top-280-billion-in-2030" TargetMode="External"/><Relationship Id="rId4" Type="http://schemas.openxmlformats.org/officeDocument/2006/relationships/hyperlink" Target="https://axios.com/2026/04/09/openai-100-billion-in-ad-revenue" TargetMode="External"/><Relationship Id="rId5" Type="http://schemas.openxmlformats.org/officeDocument/2006/relationships/hyperlink" Target="https://explainx.ai/blog/openai-advertise-in-chatgpt-ads-launch-july-2026" TargetMode="External"/><Relationship Id="rId6" Type="http://schemas.openxmlformats.org/officeDocument/2006/relationships/hyperlink" Target="https://openai.com/index/a-business-that-scales-with-the-value-of-intelligence/" TargetMode="External"/><Relationship Id="rId7" Type="http://schemas.openxmlformats.org/officeDocument/2006/relationships/hyperlink" Target="https://www.mbi-deepdives.com/oai-breakeven/" TargetMode="External"/><Relationship Id="rId8" Type="http://schemas.openxmlformats.org/officeDocument/2006/relationships/hyperlink" Target="https://www.datacenterdynamics.com/en/news/openai-cuts-projected-compute-spend-to-600bn-by-2030-report/" TargetMode="External"/><Relationship Id="rId9" Type="http://schemas.openxmlformats.org/officeDocument/2006/relationships/hyperlink" Target="https://www.theregister.com/2025/07/22/openai_oracle_gpus/" TargetMode="External"/><Relationship Id="rId10" Type="http://schemas.openxmlformats.org/officeDocument/2006/relationships/hyperlink" Target="https://techcrunch.com/2026/08/17/anthropics-annualized-revenue-surges-to-65b/" TargetMode="External"/><Relationship Id="rId11" Type="http://schemas.openxmlformats.org/officeDocument/2006/relationships/hyperlink" Target="https://www.anthropic.com/news/google-broadcom-partnership-compute" TargetMode="External"/><Relationship Id="rId12" Type="http://schemas.openxmlformats.org/officeDocument/2006/relationships/hyperlink" Target="https://www.usnews.com/news/top-news/articles/2026-08-14/exclusive-anthropic-ipo-valuation-hinges-on-190-200-billion-2028-revenue-forecast-sources-say" TargetMode="External"/><Relationship Id="rId13" Type="http://schemas.openxmlformats.org/officeDocument/2006/relationships/hyperlink" Target="https://aibusinessweekly.net/p/claude-code-statistics" TargetMode="External"/><Relationship Id="rId14" Type="http://schemas.openxmlformats.org/officeDocument/2006/relationships/hyperlink" Target="https://code.claude.com/docs/en/costs" TargetMode="External"/><Relationship Id="rId15" Type="http://schemas.openxmlformats.org/officeDocument/2006/relationships/hyperlink" Target="https://claude.com/pricing" TargetMode="External"/><Relationship Id="rId16" Type="http://schemas.openxmlformats.org/officeDocument/2006/relationships/hyperlink" Target="https://openai.com/index/introducing-chatgpt-go/" TargetMode="External"/><Relationship Id="rId17" Type="http://schemas.openxmlformats.org/officeDocument/2006/relationships/hyperlink" Target="https://investor.atmeta.com/investor-news/press-release-details/2026/Meta-Reports-Fourth-Quarter-and-Full-Year-2025-Results/default.aspx" TargetMode="External"/><Relationship Id="rId18" Type="http://schemas.openxmlformats.org/officeDocument/2006/relationships/hyperlink" Target="https://s206.q4cdn.com/479360582/files/doc_financials/2025/q4/2025q4-alphabet-earnings-release.pdf" TargetMode="External"/><Relationship Id="rId19" Type="http://schemas.openxmlformats.org/officeDocument/2006/relationships/hyperlink" Target="https://blog.google/innovation-and-ai/sundar-pichai-io-2026/" TargetMode="External"/><Relationship Id="rId20" Type="http://schemas.openxmlformats.org/officeDocument/2006/relationships/hyperlink" Target="https://www.directionsonmicrosoft.com/microsoft-claims-15-million-paid-m365-copilot-seats/" TargetMode="External"/><Relationship Id="rId21" Type="http://schemas.openxmlformats.org/officeDocument/2006/relationships/hyperlink" Target="https://www.secondtalent.com/resources/cursor-vs-github-copilot/" TargetMode="External"/><Relationship Id="rId22" Type="http://schemas.openxmlformats.org/officeDocument/2006/relationships/hyperlink" Target="https://medium.com/@david.j.sea/anthropic-just-passed-openai-in-revenue-here-is-why-it-matters-e3dd9bb04069" TargetMode="External"/><Relationship Id="rId23" Type="http://schemas.openxmlformats.org/officeDocument/2006/relationships/hyperlink" Target="https://www.atlantafed.org/research-and-data/publications/policy-hub-macroblog/2026/05/06/how-much-firms-spending-on-ai-and-what-will-happen-to-headcounts" TargetMode="External"/><Relationship Id="rId24" Type="http://schemas.openxmlformats.org/officeDocument/2006/relationships/hyperlink" Target="https://www.gartner.com/en/newsroom/press-releases/2026-07-27-gartner-forecasts-worldwide-it-spending-to-grow-14-point-2-percent-in-2026-totaling-6-point-37-trillion" TargetMode="External"/><Relationship Id="rId25" Type="http://schemas.openxmlformats.org/officeDocument/2006/relationships/hyperlink" Target="https://go.forrester.com/blogs/the-global-information-worker-population-swells-to-1-25-billion-in-2018/" TargetMode="External"/><Relationship Id="rId26" Type="http://schemas.openxmlformats.org/officeDocument/2006/relationships/hyperlink" Target="https://www.bain.com/about/media-center/press-releases/20252/$2-trillion-in-new-revenue-needed-to-fund-ais-scaling-trend---bain--companys-6th-annual-global-technology-report/" TargetMode="External"/><Relationship Id="rId27" Type="http://schemas.openxmlformats.org/officeDocument/2006/relationships/hyperlink" Target="https://epoch.ai/data-insights/ai-datacenter-cost-breakdown" TargetMode="External"/><Relationship Id="rId28" Type="http://schemas.openxmlformats.org/officeDocument/2006/relationships/hyperlink" Target="https://benchlm.ai/llm-pricing" TargetMode="External"/><Relationship Id="rId29" Type="http://schemas.openxmlformats.org/officeDocument/2006/relationships/hyperlink" Target="https://forecastingresearch.substack.com/p/will-the-ai-boom-continue-forecast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OpenAI!C27</f>
        <v>91.82922</v>
      </c>
      <c r="C5" s="5" t="n">
        <f aca="false">OpenAI!D27</f>
        <v>338.098594243668</v>
      </c>
      <c r="D5" s="5" t="n">
        <f aca="false">OpenAI!E27</f>
        <v>765.0088</v>
      </c>
      <c r="E5" s="5" t="n">
        <f aca="false">OpenAI!F27</f>
        <v>338.098594243668</v>
      </c>
    </row>
    <row r="6" customFormat="false" ht="15" hidden="false" customHeight="false" outlineLevel="0" collapsed="false">
      <c r="A6" s="4" t="s">
        <v>8</v>
      </c>
      <c r="B6" s="5" t="n">
        <f aca="false">OpenAI!C38</f>
        <v>147.84</v>
      </c>
      <c r="C6" s="5" t="n">
        <f aca="false">OpenAI!D38</f>
        <v>338.098594243666</v>
      </c>
      <c r="D6" s="5" t="n">
        <f aca="false">OpenAI!E38</f>
        <v>660</v>
      </c>
      <c r="E6" s="5" t="n">
        <f aca="false">OpenAI!F38</f>
        <v>338.098594243666</v>
      </c>
    </row>
    <row r="7" customFormat="false" ht="15" hidden="false" customHeight="false" outlineLevel="0" collapsed="false">
      <c r="A7" s="4" t="s">
        <v>9</v>
      </c>
      <c r="B7" s="5" t="n">
        <f aca="false">OpenAI!C56</f>
        <v>119.886</v>
      </c>
      <c r="C7" s="5" t="n">
        <f aca="false">OpenAI!D56</f>
        <v>338.098594243667</v>
      </c>
      <c r="D7" s="5" t="n">
        <f aca="false">OpenAI!E56</f>
        <v>455.2275</v>
      </c>
      <c r="E7" s="5" t="n">
        <f aca="false">OpenAI!F56</f>
        <v>338.098594243667</v>
      </c>
    </row>
    <row r="8" customFormat="false" ht="15" hidden="false" customHeight="false" outlineLevel="0" collapsed="false">
      <c r="A8" s="4" t="s">
        <v>10</v>
      </c>
      <c r="B8" s="6" t="n">
        <f aca="false">OpenAI!C41</f>
        <v>13.6650625</v>
      </c>
      <c r="C8" s="6" t="n">
        <f aca="false">OpenAI!D41</f>
        <v>30.8853183090818</v>
      </c>
      <c r="D8" s="6" t="n">
        <f aca="false">OpenAI!E41</f>
        <v>46.3641696969697</v>
      </c>
      <c r="E8" s="6" t="n">
        <f aca="false">OpenAI!F41</f>
        <v>30.8853183090818</v>
      </c>
    </row>
    <row r="9" customFormat="false" ht="15" hidden="false" customHeight="false" outlineLevel="0" collapsed="false">
      <c r="A9" s="4" t="s">
        <v>11</v>
      </c>
      <c r="B9" s="5" t="n">
        <f aca="false">Anthropic!C27</f>
        <v>101.37187</v>
      </c>
      <c r="C9" s="5" t="n">
        <f aca="false">Anthropic!D27</f>
        <v>425.618004862222</v>
      </c>
      <c r="D9" s="5" t="n">
        <f aca="false">Anthropic!E27</f>
        <v>779.8784</v>
      </c>
      <c r="E9" s="5" t="n">
        <f aca="false">Anthropic!F27</f>
        <v>425.618004862222</v>
      </c>
    </row>
    <row r="10" customFormat="false" ht="15" hidden="false" customHeight="false" outlineLevel="0" collapsed="false">
      <c r="A10" s="4" t="s">
        <v>12</v>
      </c>
      <c r="B10" s="5" t="n">
        <f aca="false">Anthropic!C38</f>
        <v>180</v>
      </c>
      <c r="C10" s="5" t="n">
        <f aca="false">Anthropic!D38</f>
        <v>425.618004862222</v>
      </c>
      <c r="D10" s="5" t="n">
        <f aca="false">Anthropic!E38</f>
        <v>675</v>
      </c>
      <c r="E10" s="5" t="n">
        <f aca="false">Anthropic!F38</f>
        <v>425.618004862222</v>
      </c>
    </row>
    <row r="11" customFormat="false" ht="15" hidden="false" customHeight="false" outlineLevel="0" collapsed="false">
      <c r="A11" s="4" t="s">
        <v>13</v>
      </c>
      <c r="B11" s="5" t="n">
        <f aca="false">Anthropic!C56</f>
        <v>167.479648</v>
      </c>
      <c r="C11" s="5" t="n">
        <f aca="false">Anthropic!D56</f>
        <v>425.618004862222</v>
      </c>
      <c r="D11" s="5" t="n">
        <f aca="false">Anthropic!E56</f>
        <v>568.8144</v>
      </c>
      <c r="E11" s="5" t="n">
        <f aca="false">Anthropic!F56</f>
        <v>425.618004862222</v>
      </c>
    </row>
    <row r="12" customFormat="false" ht="15" hidden="false" customHeight="false" outlineLevel="0" collapsed="false">
      <c r="A12" s="4" t="s">
        <v>14</v>
      </c>
      <c r="B12" s="6" t="n">
        <f aca="false">Anthropic!C41</f>
        <v>14.0794263888889</v>
      </c>
      <c r="C12" s="6" t="n">
        <f aca="false">Anthropic!D41</f>
        <v>34.9583576888889</v>
      </c>
      <c r="D12" s="6" t="n">
        <f aca="false">Anthropic!E41</f>
        <v>51.9918933333333</v>
      </c>
      <c r="E12" s="6" t="n">
        <f aca="false">Anthropic!F41</f>
        <v>34.9583576888889</v>
      </c>
    </row>
    <row r="13" customFormat="false" ht="15" hidden="false" customHeight="false" outlineLevel="0" collapsed="false">
      <c r="A13" s="7" t="s">
        <v>15</v>
      </c>
      <c r="B13" s="8" t="n">
        <f aca="false">B5+B9</f>
        <v>193.20109</v>
      </c>
      <c r="C13" s="8" t="n">
        <f aca="false">C5+C9</f>
        <v>763.71659910589</v>
      </c>
      <c r="D13" s="8" t="n">
        <f aca="false">D5+D9</f>
        <v>1544.8872</v>
      </c>
      <c r="E13" s="8" t="n">
        <f aca="false">E5+E9</f>
        <v>763.71659910589</v>
      </c>
    </row>
    <row r="14" customFormat="false" ht="15" hidden="false" customHeight="false" outlineLevel="0" collapsed="false">
      <c r="A14" s="4" t="s">
        <v>16</v>
      </c>
      <c r="B14" s="6" t="n">
        <f aca="false">Deck_check!C8</f>
        <v>350</v>
      </c>
      <c r="C14" s="6" t="n">
        <f aca="false">Deck_check!D8</f>
        <v>393.75</v>
      </c>
      <c r="D14" s="6" t="n">
        <f aca="false">Deck_check!E8</f>
        <v>440</v>
      </c>
      <c r="E14" s="6" t="n">
        <f aca="false">Deck_check!F8</f>
        <v>393.75</v>
      </c>
    </row>
    <row r="15" customFormat="false" ht="15" hidden="false" customHeight="false" outlineLevel="0" collapsed="false">
      <c r="A15" s="4" t="s">
        <v>17</v>
      </c>
      <c r="B15" s="9" t="n">
        <f aca="false">Deck_check!C15</f>
        <v>0.906579615589288</v>
      </c>
      <c r="C15" s="9" t="n">
        <f aca="false">Deck_check!D15</f>
        <v>0.971335302417094</v>
      </c>
      <c r="D15" s="9" t="n">
        <f aca="false">Deck_check!E15</f>
        <v>1.0360909892449</v>
      </c>
      <c r="E15" s="9" t="n">
        <f aca="false">Deck_check!F15</f>
        <v>0.971335302417094</v>
      </c>
    </row>
    <row r="16" customFormat="false" ht="15" hidden="false" customHeight="false" outlineLevel="0" collapsed="false">
      <c r="A16" s="4" t="s">
        <v>18</v>
      </c>
      <c r="B16" s="9" t="n">
        <f aca="false">Deck_check!C23</f>
        <v>0.800952958064717</v>
      </c>
      <c r="C16" s="9" t="n">
        <f aca="false">Deck_check!D23</f>
        <v>0.858163883640768</v>
      </c>
      <c r="D16" s="9" t="n">
        <f aca="false">Deck_check!E23</f>
        <v>0.915374809216819</v>
      </c>
      <c r="E16" s="9" t="n">
        <f aca="false">Deck_check!F23</f>
        <v>0.858163883640768</v>
      </c>
    </row>
    <row r="18" customFormat="false" ht="15" hidden="false" customHeight="false" outlineLevel="0" collapsed="false">
      <c r="A18" s="10" t="s">
        <v>19</v>
      </c>
      <c r="B18" s="11"/>
      <c r="C18" s="11"/>
      <c r="D18" s="11"/>
      <c r="E18" s="11"/>
    </row>
    <row r="19" customFormat="false" ht="15" hidden="false" customHeight="false" outlineLevel="0" collapsed="false">
      <c r="A19" s="7" t="s">
        <v>20</v>
      </c>
      <c r="B19" s="7" t="s">
        <v>21</v>
      </c>
      <c r="C19" s="7" t="s">
        <v>22</v>
      </c>
      <c r="D19" s="7" t="s">
        <v>23</v>
      </c>
      <c r="E19" s="7"/>
    </row>
    <row r="20" customFormat="false" ht="15" hidden="false" customHeight="false" outlineLevel="0" collapsed="false">
      <c r="A20" s="4" t="s">
        <v>24</v>
      </c>
      <c r="B20" s="5" t="n">
        <f aca="false">OpenAI!D27</f>
        <v>338.098594243668</v>
      </c>
      <c r="C20" s="5" t="n">
        <f aca="false">Inputs!$E$78</f>
        <v>338.098594243668</v>
      </c>
      <c r="D20" s="12" t="n">
        <f aca="false">B20-C20</f>
        <v>0</v>
      </c>
    </row>
    <row r="21" customFormat="false" ht="15" hidden="false" customHeight="false" outlineLevel="0" collapsed="false">
      <c r="A21" s="4" t="s">
        <v>25</v>
      </c>
      <c r="B21" s="5" t="n">
        <f aca="false">OpenAI!D38</f>
        <v>338.098594243666</v>
      </c>
      <c r="C21" s="5" t="n">
        <f aca="false">Inputs!$E$78</f>
        <v>338.098594243668</v>
      </c>
      <c r="D21" s="12" t="n">
        <f aca="false">B21-C21</f>
        <v>-1.81898940354586E-012</v>
      </c>
    </row>
    <row r="22" customFormat="false" ht="15" hidden="false" customHeight="false" outlineLevel="0" collapsed="false">
      <c r="A22" s="4" t="s">
        <v>26</v>
      </c>
      <c r="B22" s="5" t="n">
        <f aca="false">OpenAI!D56</f>
        <v>338.098594243667</v>
      </c>
      <c r="C22" s="5" t="n">
        <f aca="false">Inputs!$E$78</f>
        <v>338.098594243668</v>
      </c>
      <c r="D22" s="12" t="n">
        <f aca="false">B22-C22</f>
        <v>0</v>
      </c>
    </row>
    <row r="23" customFormat="false" ht="15" hidden="false" customHeight="false" outlineLevel="0" collapsed="false">
      <c r="A23" s="4" t="s">
        <v>27</v>
      </c>
      <c r="B23" s="5" t="n">
        <f aca="false">OpenAI!D55</f>
        <v>372.5403858555</v>
      </c>
      <c r="C23" s="5" t="n">
        <f aca="false">Inputs!$E$80</f>
        <v>372.5403858555</v>
      </c>
      <c r="D23" s="12" t="n">
        <f aca="false">B23-C23</f>
        <v>0</v>
      </c>
    </row>
    <row r="24" customFormat="false" ht="15" hidden="false" customHeight="false" outlineLevel="0" collapsed="false">
      <c r="A24" s="4" t="s">
        <v>28</v>
      </c>
      <c r="B24" s="13" t="n">
        <f aca="false">OpenAI!D33</f>
        <v>20.2379725666731</v>
      </c>
      <c r="C24" s="13" t="n">
        <f aca="false">Inputs!$E$82</f>
        <v>20.2379725666731</v>
      </c>
      <c r="D24" s="12" t="n">
        <f aca="false">B24-C24</f>
        <v>0</v>
      </c>
    </row>
    <row r="25" customFormat="false" ht="15" hidden="false" customHeight="false" outlineLevel="0" collapsed="false">
      <c r="A25" s="4" t="s">
        <v>29</v>
      </c>
      <c r="B25" s="14" t="n">
        <f aca="false">OpenAI!D34</f>
        <v>0.540909090909088</v>
      </c>
      <c r="C25" s="14" t="n">
        <f aca="false">Inputs!$E$85</f>
        <v>0.540909090909088</v>
      </c>
      <c r="D25" s="12" t="n">
        <f aca="false">B25-C25</f>
        <v>0</v>
      </c>
    </row>
    <row r="26" customFormat="false" ht="15" hidden="false" customHeight="false" outlineLevel="0" collapsed="false">
      <c r="A26" s="4" t="s">
        <v>30</v>
      </c>
      <c r="B26" s="13" t="n">
        <f aca="false">OpenAI!D35</f>
        <v>10.9469033428822</v>
      </c>
      <c r="C26" s="13" t="n">
        <f aca="false">Inputs!$E$84</f>
        <v>10.9469033428822</v>
      </c>
      <c r="D26" s="12" t="n">
        <f aca="false">B26-C26</f>
        <v>0</v>
      </c>
    </row>
    <row r="27" customFormat="false" ht="15" hidden="false" customHeight="false" outlineLevel="0" collapsed="false">
      <c r="A27" s="4" t="s">
        <v>31</v>
      </c>
      <c r="B27" s="5" t="n">
        <f aca="false">OpenAI!D36</f>
        <v>30.8853183090816</v>
      </c>
      <c r="C27" s="5" t="n">
        <f aca="false">Inputs!$E$87</f>
        <v>30.8853183090816</v>
      </c>
      <c r="D27" s="12" t="n">
        <f aca="false">B27-C27</f>
        <v>0</v>
      </c>
    </row>
    <row r="28" customFormat="false" ht="15" hidden="false" customHeight="false" outlineLevel="0" collapsed="false">
      <c r="A28" s="4" t="s">
        <v>32</v>
      </c>
      <c r="B28" s="5" t="n">
        <f aca="false">OpenAI!D37</f>
        <v>16.7061494490031</v>
      </c>
      <c r="C28" s="5" t="n">
        <f aca="false">Inputs!$E$88</f>
        <v>16.7061494490032</v>
      </c>
      <c r="D28" s="12" t="n">
        <f aca="false">B28-C28</f>
        <v>-7.105427357601E-014</v>
      </c>
    </row>
    <row r="29" customFormat="false" ht="15" hidden="false" customHeight="false" outlineLevel="0" collapsed="false">
      <c r="A29" s="4" t="s">
        <v>33</v>
      </c>
      <c r="B29" s="14" t="n">
        <f aca="false">OpenAI!D44</f>
        <v>0.591166166958591</v>
      </c>
      <c r="C29" s="14" t="n">
        <f aca="false">Inputs!$E$90</f>
        <v>0.59116616695859</v>
      </c>
      <c r="D29" s="12" t="n">
        <f aca="false">B29-C29</f>
        <v>0</v>
      </c>
    </row>
    <row r="30" customFormat="false" ht="15" hidden="false" customHeight="false" outlineLevel="0" collapsed="false">
      <c r="A30" s="4" t="s">
        <v>34</v>
      </c>
      <c r="B30" s="5" t="n">
        <f aca="false">Anthropic!D27</f>
        <v>425.618004862222</v>
      </c>
      <c r="C30" s="5" t="n">
        <f aca="false">Inputs!$E$94</f>
        <v>425.618004862222</v>
      </c>
      <c r="D30" s="12" t="n">
        <f aca="false">B30-C30</f>
        <v>0</v>
      </c>
    </row>
    <row r="31" customFormat="false" ht="15" hidden="false" customHeight="false" outlineLevel="0" collapsed="false">
      <c r="A31" s="4" t="s">
        <v>35</v>
      </c>
      <c r="B31" s="5" t="n">
        <f aca="false">Anthropic!D38</f>
        <v>425.618004862222</v>
      </c>
      <c r="C31" s="5" t="n">
        <f aca="false">Inputs!$E$94</f>
        <v>425.618004862222</v>
      </c>
      <c r="D31" s="12" t="n">
        <f aca="false">B31-C31</f>
        <v>0</v>
      </c>
    </row>
    <row r="32" customFormat="false" ht="15" hidden="false" customHeight="false" outlineLevel="0" collapsed="false">
      <c r="A32" s="4" t="s">
        <v>36</v>
      </c>
      <c r="B32" s="5" t="n">
        <f aca="false">Anthropic!D56</f>
        <v>425.618004862222</v>
      </c>
      <c r="C32" s="5" t="n">
        <f aca="false">Inputs!$E$94</f>
        <v>425.618004862222</v>
      </c>
      <c r="D32" s="12" t="n">
        <f aca="false">B32-C32</f>
        <v>0</v>
      </c>
    </row>
    <row r="33" customFormat="false" ht="15" hidden="false" customHeight="false" outlineLevel="0" collapsed="false">
      <c r="A33" s="4" t="s">
        <v>37</v>
      </c>
      <c r="B33" s="5" t="n">
        <f aca="false">Anthropic!D55</f>
        <v>471.932098613333</v>
      </c>
      <c r="C33" s="5" t="n">
        <f aca="false">Inputs!$E$96</f>
        <v>471.932098613333</v>
      </c>
      <c r="D33" s="12" t="n">
        <f aca="false">B33-C33</f>
        <v>0</v>
      </c>
    </row>
    <row r="34" customFormat="false" ht="15" hidden="false" customHeight="false" outlineLevel="0" collapsed="false">
      <c r="A34" s="4" t="s">
        <v>38</v>
      </c>
      <c r="B34" s="13" t="n">
        <f aca="false">Anthropic!D33</f>
        <v>22.5</v>
      </c>
      <c r="C34" s="13" t="n">
        <f aca="false">Inputs!$E$98</f>
        <v>22.5</v>
      </c>
      <c r="D34" s="12" t="n">
        <f aca="false">B34-C34</f>
        <v>0</v>
      </c>
    </row>
    <row r="35" customFormat="false" ht="15" hidden="false" customHeight="false" outlineLevel="0" collapsed="false">
      <c r="A35" s="4" t="s">
        <v>39</v>
      </c>
      <c r="B35" s="14" t="n">
        <f aca="false">Anthropic!D34</f>
        <v>0.541111111111111</v>
      </c>
      <c r="C35" s="14" t="n">
        <f aca="false">Inputs!$E$101</f>
        <v>0.541111111111111</v>
      </c>
      <c r="D35" s="12" t="n">
        <f aca="false">B35-C35</f>
        <v>0</v>
      </c>
    </row>
    <row r="36" customFormat="false" ht="15" hidden="false" customHeight="false" outlineLevel="0" collapsed="false">
      <c r="A36" s="4" t="s">
        <v>40</v>
      </c>
      <c r="B36" s="13" t="n">
        <f aca="false">Anthropic!D35</f>
        <v>12.175</v>
      </c>
      <c r="C36" s="13" t="n">
        <f aca="false">Inputs!$E$100</f>
        <v>12.175</v>
      </c>
      <c r="D36" s="12" t="n">
        <f aca="false">B36-C36</f>
        <v>0</v>
      </c>
    </row>
    <row r="37" customFormat="false" ht="15" hidden="false" customHeight="false" outlineLevel="0" collapsed="false">
      <c r="A37" s="4" t="s">
        <v>41</v>
      </c>
      <c r="B37" s="5" t="n">
        <f aca="false">Anthropic!D36</f>
        <v>34.9583576888889</v>
      </c>
      <c r="C37" s="5" t="n">
        <f aca="false">Inputs!$E$103</f>
        <v>34.9583576888889</v>
      </c>
      <c r="D37" s="12" t="n">
        <f aca="false">B37-C37</f>
        <v>0</v>
      </c>
    </row>
    <row r="38" customFormat="false" ht="15" hidden="false" customHeight="false" outlineLevel="0" collapsed="false">
      <c r="A38" s="4" t="s">
        <v>42</v>
      </c>
      <c r="B38" s="5" t="n">
        <f aca="false">Anthropic!D37</f>
        <v>18.9163557716543</v>
      </c>
      <c r="C38" s="5" t="n">
        <f aca="false">Inputs!$E$104</f>
        <v>18.9163557716543</v>
      </c>
      <c r="D38" s="12" t="n">
        <f aca="false">B38-C38</f>
        <v>0</v>
      </c>
    </row>
    <row r="39" customFormat="false" ht="15" hidden="false" customHeight="false" outlineLevel="0" collapsed="false">
      <c r="A39" s="4" t="s">
        <v>43</v>
      </c>
      <c r="B39" s="14" t="n">
        <f aca="false">Anthropic!D44</f>
        <v>0.626734446543693</v>
      </c>
      <c r="C39" s="14" t="n">
        <f aca="false">Inputs!$E$106</f>
        <v>0.626734446543693</v>
      </c>
      <c r="D39" s="12" t="n">
        <f aca="false">B39-C39</f>
        <v>0</v>
      </c>
    </row>
    <row r="41" customFormat="false" ht="15" hidden="false" customHeight="false" outlineLevel="0" collapsed="false">
      <c r="A41" s="7" t="s">
        <v>44</v>
      </c>
    </row>
    <row r="42" customFormat="false" ht="15" hidden="false" customHeight="false" outlineLevel="0" collapsed="false">
      <c r="A42" s="4" t="s">
        <v>45</v>
      </c>
      <c r="B42" s="15" t="n">
        <v>40</v>
      </c>
      <c r="C42" s="2" t="s">
        <v>46</v>
      </c>
    </row>
    <row r="43" customFormat="false" ht="15" hidden="false" customHeight="false" outlineLevel="0" collapsed="false">
      <c r="A43" s="4" t="s">
        <v>47</v>
      </c>
      <c r="B43" s="15" t="n">
        <v>65</v>
      </c>
      <c r="C43" s="2" t="s">
        <v>48</v>
      </c>
    </row>
    <row r="44" customFormat="false" ht="15" hidden="false" customHeight="false" outlineLevel="0" collapsed="false">
      <c r="A44" s="4" t="s">
        <v>49</v>
      </c>
      <c r="B44" s="15" t="n">
        <v>280</v>
      </c>
      <c r="C44" s="2" t="s">
        <v>50</v>
      </c>
    </row>
    <row r="45" customFormat="false" ht="15" hidden="false" customHeight="false" outlineLevel="0" collapsed="false">
      <c r="A45" s="4" t="s">
        <v>51</v>
      </c>
      <c r="B45" s="15" t="n">
        <v>195</v>
      </c>
      <c r="C45" s="2" t="s">
        <v>52</v>
      </c>
    </row>
    <row r="46" customFormat="false" ht="15" hidden="false" customHeight="false" outlineLevel="0" collapsed="false">
      <c r="A46" s="4" t="s">
        <v>53</v>
      </c>
      <c r="B46" s="15" t="n">
        <v>300</v>
      </c>
      <c r="C46" s="2" t="s">
        <v>54</v>
      </c>
    </row>
    <row r="47" customFormat="false" ht="15" hidden="false" customHeight="false" outlineLevel="0" collapsed="false">
      <c r="A47" s="4" t="s">
        <v>55</v>
      </c>
      <c r="B47" s="15" t="n">
        <v>2000</v>
      </c>
      <c r="C47" s="2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20"/>
  </cols>
  <sheetData>
    <row r="1" customFormat="false" ht="17.35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15" hidden="false" customHeight="false" outlineLevel="0" collapsed="false">
      <c r="A4" s="3" t="s">
        <v>59</v>
      </c>
      <c r="B4" s="3" t="s">
        <v>60</v>
      </c>
      <c r="C4" s="3" t="s">
        <v>61</v>
      </c>
      <c r="D4" s="3" t="s">
        <v>3</v>
      </c>
      <c r="E4" s="3" t="s">
        <v>4</v>
      </c>
      <c r="F4" s="3" t="s">
        <v>5</v>
      </c>
      <c r="G4" s="3" t="s">
        <v>62</v>
      </c>
      <c r="H4" s="3" t="s">
        <v>63</v>
      </c>
    </row>
    <row r="5" customFormat="false" ht="15" hidden="false" customHeight="false" outlineLevel="0" collapsed="false">
      <c r="A5" s="10" t="s">
        <v>64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A6" s="2" t="s">
        <v>65</v>
      </c>
      <c r="B6" s="16" t="s">
        <v>66</v>
      </c>
      <c r="C6" s="16" t="s">
        <v>67</v>
      </c>
      <c r="D6" s="15" t="n">
        <v>36</v>
      </c>
      <c r="E6" s="15" t="n">
        <v>42</v>
      </c>
      <c r="F6" s="15" t="n">
        <v>46</v>
      </c>
      <c r="G6" s="17" t="n">
        <v>42</v>
      </c>
      <c r="H6" s="2" t="s">
        <v>68</v>
      </c>
    </row>
    <row r="7" customFormat="false" ht="15" hidden="false" customHeight="false" outlineLevel="0" collapsed="false">
      <c r="A7" s="2" t="s">
        <v>69</v>
      </c>
      <c r="B7" s="16" t="s">
        <v>70</v>
      </c>
      <c r="C7" s="16" t="s">
        <v>67</v>
      </c>
      <c r="D7" s="15" t="n">
        <v>205</v>
      </c>
      <c r="E7" s="15" t="n">
        <v>220</v>
      </c>
      <c r="F7" s="15" t="n">
        <v>240</v>
      </c>
      <c r="G7" s="17" t="n">
        <v>220</v>
      </c>
      <c r="H7" s="2" t="s">
        <v>71</v>
      </c>
    </row>
    <row r="8" customFormat="false" ht="15" hidden="false" customHeight="false" outlineLevel="0" collapsed="false">
      <c r="A8" s="2" t="s">
        <v>72</v>
      </c>
      <c r="B8" s="16" t="s">
        <v>73</v>
      </c>
      <c r="C8" s="16" t="s">
        <v>67</v>
      </c>
      <c r="D8" s="15" t="n">
        <v>770</v>
      </c>
      <c r="E8" s="15" t="n">
        <v>790</v>
      </c>
      <c r="F8" s="15" t="n">
        <v>815</v>
      </c>
      <c r="G8" s="17" t="n">
        <v>790</v>
      </c>
      <c r="H8" s="2" t="s">
        <v>74</v>
      </c>
    </row>
    <row r="9" customFormat="false" ht="15" hidden="false" customHeight="false" outlineLevel="0" collapsed="false">
      <c r="A9" s="2" t="s">
        <v>75</v>
      </c>
      <c r="B9" s="16" t="s">
        <v>76</v>
      </c>
      <c r="C9" s="16" t="s">
        <v>77</v>
      </c>
      <c r="D9" s="15" t="n">
        <v>72</v>
      </c>
      <c r="E9" s="15" t="n">
        <v>75</v>
      </c>
      <c r="F9" s="15" t="n">
        <v>80</v>
      </c>
      <c r="G9" s="17" t="n">
        <v>75</v>
      </c>
      <c r="H9" s="2" t="s">
        <v>78</v>
      </c>
    </row>
    <row r="10" customFormat="false" ht="15" hidden="false" customHeight="false" outlineLevel="0" collapsed="false">
      <c r="A10" s="2" t="s">
        <v>79</v>
      </c>
      <c r="B10" s="16" t="s">
        <v>80</v>
      </c>
      <c r="C10" s="16" t="s">
        <v>77</v>
      </c>
      <c r="D10" s="15" t="n">
        <v>57</v>
      </c>
      <c r="E10" s="15" t="n">
        <v>60</v>
      </c>
      <c r="F10" s="15" t="n">
        <v>65</v>
      </c>
      <c r="G10" s="17" t="n">
        <v>60</v>
      </c>
      <c r="H10" s="2" t="s">
        <v>81</v>
      </c>
    </row>
    <row r="11" customFormat="false" ht="15" hidden="false" customHeight="false" outlineLevel="0" collapsed="false">
      <c r="A11" s="2" t="s">
        <v>82</v>
      </c>
      <c r="B11" s="16" t="s">
        <v>83</v>
      </c>
      <c r="C11" s="16" t="s">
        <v>77</v>
      </c>
      <c r="D11" s="15" t="n">
        <v>29</v>
      </c>
      <c r="E11" s="15" t="n">
        <v>30</v>
      </c>
      <c r="F11" s="15" t="n">
        <v>32</v>
      </c>
      <c r="G11" s="17" t="n">
        <v>30</v>
      </c>
      <c r="H11" s="2" t="s">
        <v>84</v>
      </c>
    </row>
    <row r="12" customFormat="false" ht="15" hidden="false" customHeight="false" outlineLevel="0" collapsed="false">
      <c r="A12" s="10" t="s">
        <v>85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2" t="s">
        <v>86</v>
      </c>
      <c r="B13" s="16" t="s">
        <v>87</v>
      </c>
      <c r="C13" s="16" t="s">
        <v>88</v>
      </c>
      <c r="D13" s="18" t="n">
        <v>0.7</v>
      </c>
      <c r="E13" s="18" t="n">
        <v>0.85</v>
      </c>
      <c r="F13" s="18" t="n">
        <v>0.92</v>
      </c>
      <c r="G13" s="19" t="n">
        <v>0.85</v>
      </c>
      <c r="H13" s="2" t="s">
        <v>89</v>
      </c>
    </row>
    <row r="14" customFormat="false" ht="15" hidden="false" customHeight="false" outlineLevel="0" collapsed="false">
      <c r="A14" s="2" t="s">
        <v>90</v>
      </c>
      <c r="B14" s="16" t="s">
        <v>91</v>
      </c>
      <c r="C14" s="16" t="s">
        <v>88</v>
      </c>
      <c r="D14" s="18" t="n">
        <v>0.35</v>
      </c>
      <c r="E14" s="18" t="n">
        <v>0.5</v>
      </c>
      <c r="F14" s="18" t="n">
        <v>0.6</v>
      </c>
      <c r="G14" s="19" t="n">
        <v>0.5</v>
      </c>
      <c r="H14" s="2" t="s">
        <v>92</v>
      </c>
    </row>
    <row r="15" customFormat="false" ht="15" hidden="false" customHeight="false" outlineLevel="0" collapsed="false">
      <c r="A15" s="2" t="s">
        <v>93</v>
      </c>
      <c r="B15" s="16" t="s">
        <v>94</v>
      </c>
      <c r="C15" s="16" t="s">
        <v>88</v>
      </c>
      <c r="D15" s="18" t="n">
        <v>0.15</v>
      </c>
      <c r="E15" s="18" t="n">
        <v>0.3</v>
      </c>
      <c r="F15" s="18" t="n">
        <v>0.4</v>
      </c>
      <c r="G15" s="19" t="n">
        <v>0.3</v>
      </c>
      <c r="H15" s="2" t="s">
        <v>95</v>
      </c>
    </row>
    <row r="16" customFormat="false" ht="15" hidden="false" customHeight="false" outlineLevel="0" collapsed="false">
      <c r="A16" s="10" t="s">
        <v>96</v>
      </c>
      <c r="B16" s="11"/>
      <c r="C16" s="11"/>
      <c r="D16" s="11"/>
      <c r="E16" s="11"/>
      <c r="F16" s="11"/>
      <c r="G16" s="11"/>
      <c r="H16" s="11"/>
    </row>
    <row r="17" customFormat="false" ht="15" hidden="false" customHeight="false" outlineLevel="0" collapsed="false">
      <c r="A17" s="2" t="s">
        <v>97</v>
      </c>
      <c r="B17" s="16" t="s">
        <v>98</v>
      </c>
      <c r="C17" s="16" t="s">
        <v>88</v>
      </c>
      <c r="D17" s="18" t="n">
        <v>0.08</v>
      </c>
      <c r="E17" s="18" t="n">
        <v>0.168</v>
      </c>
      <c r="F17" s="18" t="n">
        <v>0.2</v>
      </c>
      <c r="G17" s="19" t="n">
        <v>0.168</v>
      </c>
      <c r="H17" s="2" t="s">
        <v>99</v>
      </c>
    </row>
    <row r="18" customFormat="false" ht="15" hidden="false" customHeight="false" outlineLevel="0" collapsed="false">
      <c r="A18" s="2" t="s">
        <v>100</v>
      </c>
      <c r="B18" s="16" t="s">
        <v>101</v>
      </c>
      <c r="C18" s="16" t="s">
        <v>88</v>
      </c>
      <c r="D18" s="18" t="n">
        <v>0.02</v>
      </c>
      <c r="E18" s="18" t="n">
        <v>0.045</v>
      </c>
      <c r="F18" s="18" t="n">
        <v>0.06</v>
      </c>
      <c r="G18" s="19" t="n">
        <v>0.045</v>
      </c>
      <c r="H18" s="2" t="s">
        <v>102</v>
      </c>
    </row>
    <row r="19" customFormat="false" ht="15" hidden="false" customHeight="false" outlineLevel="0" collapsed="false">
      <c r="A19" s="2" t="s">
        <v>103</v>
      </c>
      <c r="B19" s="16" t="s">
        <v>104</v>
      </c>
      <c r="C19" s="16" t="s">
        <v>88</v>
      </c>
      <c r="D19" s="18" t="n">
        <v>0.008</v>
      </c>
      <c r="E19" s="18" t="n">
        <v>0.014</v>
      </c>
      <c r="F19" s="18" t="n">
        <v>0.02</v>
      </c>
      <c r="G19" s="19" t="n">
        <v>0.014</v>
      </c>
      <c r="H19" s="2" t="s">
        <v>105</v>
      </c>
    </row>
    <row r="20" customFormat="false" ht="15" hidden="false" customHeight="false" outlineLevel="0" collapsed="false">
      <c r="A20" s="10" t="s">
        <v>106</v>
      </c>
      <c r="B20" s="11"/>
      <c r="C20" s="11"/>
      <c r="D20" s="11"/>
      <c r="E20" s="11"/>
      <c r="F20" s="11"/>
      <c r="G20" s="11"/>
      <c r="H20" s="11"/>
    </row>
    <row r="21" customFormat="false" ht="15" hidden="false" customHeight="false" outlineLevel="0" collapsed="false">
      <c r="A21" s="2" t="s">
        <v>107</v>
      </c>
      <c r="B21" s="16" t="s">
        <v>108</v>
      </c>
      <c r="C21" s="16" t="s">
        <v>88</v>
      </c>
      <c r="D21" s="18" t="n">
        <v>0.36</v>
      </c>
      <c r="E21" s="18" t="n">
        <v>0.455737850695834</v>
      </c>
      <c r="F21" s="18" t="n">
        <v>0.48</v>
      </c>
      <c r="G21" s="19" t="n">
        <v>0.455737850695834</v>
      </c>
      <c r="H21" s="2" t="s">
        <v>109</v>
      </c>
    </row>
    <row r="22" customFormat="false" ht="15" hidden="false" customHeight="false" outlineLevel="0" collapsed="false">
      <c r="A22" s="2" t="s">
        <v>110</v>
      </c>
      <c r="B22" s="16" t="s">
        <v>111</v>
      </c>
      <c r="C22" s="16" t="s">
        <v>88</v>
      </c>
      <c r="D22" s="18" t="n">
        <v>0.14</v>
      </c>
      <c r="E22" s="18" t="n">
        <v>0.173402694411098</v>
      </c>
      <c r="F22" s="18" t="n">
        <v>0.24</v>
      </c>
      <c r="G22" s="19" t="n">
        <v>0.173402694411098</v>
      </c>
      <c r="H22" s="2" t="s">
        <v>112</v>
      </c>
    </row>
    <row r="23" customFormat="false" ht="15" hidden="false" customHeight="false" outlineLevel="0" collapsed="false">
      <c r="A23" s="2" t="s">
        <v>113</v>
      </c>
      <c r="B23" s="16" t="s">
        <v>114</v>
      </c>
      <c r="C23" s="16" t="s">
        <v>88</v>
      </c>
      <c r="D23" s="18" t="n">
        <v>0.13</v>
      </c>
      <c r="E23" s="18" t="n">
        <v>0.185185185185185</v>
      </c>
      <c r="F23" s="18" t="n">
        <v>0.24</v>
      </c>
      <c r="G23" s="19" t="n">
        <v>0.185185185185185</v>
      </c>
      <c r="H23" s="2" t="s">
        <v>115</v>
      </c>
    </row>
    <row r="24" customFormat="false" ht="15" hidden="false" customHeight="false" outlineLevel="0" collapsed="false">
      <c r="A24" s="2" t="s">
        <v>116</v>
      </c>
      <c r="B24" s="16" t="s">
        <v>117</v>
      </c>
      <c r="C24" s="16" t="s">
        <v>88</v>
      </c>
      <c r="D24" s="18" t="n">
        <v>0.2</v>
      </c>
      <c r="E24" s="18" t="n">
        <v>0.228956228956229</v>
      </c>
      <c r="F24" s="18" t="n">
        <v>0.3</v>
      </c>
      <c r="G24" s="19" t="n">
        <v>0.228956228956229</v>
      </c>
      <c r="H24" s="2" t="s">
        <v>118</v>
      </c>
    </row>
    <row r="25" customFormat="false" ht="15" hidden="false" customHeight="false" outlineLevel="0" collapsed="false">
      <c r="A25" s="2" t="s">
        <v>119</v>
      </c>
      <c r="B25" s="16" t="s">
        <v>120</v>
      </c>
      <c r="C25" s="16" t="s">
        <v>88</v>
      </c>
      <c r="D25" s="18" t="n">
        <v>0.05</v>
      </c>
      <c r="E25" s="18" t="n">
        <v>0.0803697006228652</v>
      </c>
      <c r="F25" s="18" t="n">
        <v>0.12</v>
      </c>
      <c r="G25" s="19" t="n">
        <v>0.0803697006228652</v>
      </c>
      <c r="H25" s="2" t="s">
        <v>121</v>
      </c>
    </row>
    <row r="26" customFormat="false" ht="15" hidden="false" customHeight="false" outlineLevel="0" collapsed="false">
      <c r="A26" s="2" t="s">
        <v>122</v>
      </c>
      <c r="B26" s="16" t="s">
        <v>123</v>
      </c>
      <c r="C26" s="16" t="s">
        <v>88</v>
      </c>
      <c r="D26" s="18" t="n">
        <v>0.14</v>
      </c>
      <c r="E26" s="18" t="n">
        <v>0.180831826401447</v>
      </c>
      <c r="F26" s="18" t="n">
        <v>0.25</v>
      </c>
      <c r="G26" s="19" t="n">
        <v>0.180831826401447</v>
      </c>
      <c r="H26" s="2" t="s">
        <v>124</v>
      </c>
    </row>
    <row r="27" customFormat="false" ht="15" hidden="false" customHeight="false" outlineLevel="0" collapsed="false">
      <c r="A27" s="10" t="s">
        <v>125</v>
      </c>
      <c r="B27" s="11"/>
      <c r="C27" s="11"/>
      <c r="D27" s="11"/>
      <c r="E27" s="11"/>
      <c r="F27" s="11"/>
      <c r="G27" s="11"/>
      <c r="H27" s="11"/>
    </row>
    <row r="28" customFormat="false" ht="15" hidden="false" customHeight="false" outlineLevel="0" collapsed="false">
      <c r="A28" s="2" t="s">
        <v>126</v>
      </c>
      <c r="B28" s="16" t="s">
        <v>127</v>
      </c>
      <c r="C28" s="16" t="s">
        <v>128</v>
      </c>
      <c r="D28" s="20" t="n">
        <v>7</v>
      </c>
      <c r="E28" s="20" t="n">
        <v>8</v>
      </c>
      <c r="F28" s="20" t="n">
        <v>10</v>
      </c>
      <c r="G28" s="21" t="n">
        <v>8</v>
      </c>
      <c r="H28" s="2" t="s">
        <v>129</v>
      </c>
    </row>
    <row r="29" customFormat="false" ht="15" hidden="false" customHeight="false" outlineLevel="0" collapsed="false">
      <c r="A29" s="2" t="s">
        <v>130</v>
      </c>
      <c r="B29" s="16" t="s">
        <v>131</v>
      </c>
      <c r="C29" s="16" t="s">
        <v>88</v>
      </c>
      <c r="D29" s="18" t="n">
        <v>0.07</v>
      </c>
      <c r="E29" s="18" t="n">
        <v>0.125</v>
      </c>
      <c r="F29" s="18" t="n">
        <v>0.16</v>
      </c>
      <c r="G29" s="19" t="n">
        <v>0.125</v>
      </c>
      <c r="H29" s="2" t="s">
        <v>132</v>
      </c>
    </row>
    <row r="30" customFormat="false" ht="15" hidden="false" customHeight="false" outlineLevel="0" collapsed="false">
      <c r="A30" s="2" t="s">
        <v>133</v>
      </c>
      <c r="B30" s="16" t="s">
        <v>134</v>
      </c>
      <c r="C30" s="16" t="s">
        <v>88</v>
      </c>
      <c r="D30" s="18" t="n">
        <v>0.2</v>
      </c>
      <c r="E30" s="18" t="n">
        <v>0.3</v>
      </c>
      <c r="F30" s="18" t="n">
        <v>0.34</v>
      </c>
      <c r="G30" s="19" t="n">
        <v>0.3</v>
      </c>
      <c r="H30" s="2" t="s">
        <v>135</v>
      </c>
    </row>
    <row r="31" customFormat="false" ht="15" hidden="false" customHeight="false" outlineLevel="0" collapsed="false">
      <c r="A31" s="2" t="s">
        <v>136</v>
      </c>
      <c r="B31" s="16" t="s">
        <v>137</v>
      </c>
      <c r="C31" s="16" t="s">
        <v>88</v>
      </c>
      <c r="D31" s="18" t="n">
        <v>0.3</v>
      </c>
      <c r="E31" s="22" t="n">
        <f aca="false">IF(Anthropic!$D$15=0,0,(Inputs!$E$94-(Anthropic!$D$19+Anthropic!$D$20+Anthropic!$D$21+Anthropic!$D$23+Anthropic!$D$24+Anthropic!$D$25+Anthropic!$D$26))/Anthropic!$D$15)</f>
        <v>0.43739334954074</v>
      </c>
      <c r="F31" s="18" t="n">
        <v>0.45</v>
      </c>
      <c r="G31" s="19" t="n">
        <v>0.43739334954074</v>
      </c>
      <c r="H31" s="2" t="s">
        <v>138</v>
      </c>
    </row>
    <row r="32" customFormat="false" ht="15" hidden="false" customHeight="false" outlineLevel="0" collapsed="false">
      <c r="A32" s="2" t="s">
        <v>139</v>
      </c>
      <c r="B32" s="16" t="s">
        <v>140</v>
      </c>
      <c r="C32" s="16" t="s">
        <v>88</v>
      </c>
      <c r="D32" s="18" t="n">
        <v>0.12</v>
      </c>
      <c r="E32" s="22" t="n">
        <f aca="false">IF(OpenAI!$D$15=0,0,(Inputs!$E$78-(OpenAI!$D$19+OpenAI!$D$20+OpenAI!$D$21+OpenAI!$D$23+OpenAI!$D$24+OpenAI!$D$25+OpenAI!$D$26))/OpenAI!$D$15)</f>
        <v>0.157728647478893</v>
      </c>
      <c r="F32" s="18" t="n">
        <v>0.24</v>
      </c>
      <c r="G32" s="19" t="n">
        <v>0.157728647478893</v>
      </c>
      <c r="H32" s="2" t="s">
        <v>141</v>
      </c>
    </row>
    <row r="33" customFormat="false" ht="15" hidden="false" customHeight="false" outlineLevel="0" collapsed="false">
      <c r="A33" s="10" t="s">
        <v>142</v>
      </c>
      <c r="B33" s="11"/>
      <c r="C33" s="11"/>
      <c r="D33" s="11"/>
      <c r="E33" s="11"/>
      <c r="F33" s="11"/>
      <c r="G33" s="11"/>
      <c r="H33" s="11"/>
    </row>
    <row r="34" customFormat="false" ht="15" hidden="false" customHeight="false" outlineLevel="0" collapsed="false">
      <c r="A34" s="2" t="s">
        <v>143</v>
      </c>
      <c r="B34" s="16" t="s">
        <v>144</v>
      </c>
      <c r="C34" s="16" t="s">
        <v>67</v>
      </c>
      <c r="D34" s="15" t="n">
        <v>1500</v>
      </c>
      <c r="E34" s="15" t="n">
        <v>2000</v>
      </c>
      <c r="F34" s="15" t="n">
        <v>2500</v>
      </c>
      <c r="G34" s="17" t="n">
        <v>2000</v>
      </c>
      <c r="H34" s="2" t="s">
        <v>145</v>
      </c>
    </row>
    <row r="35" customFormat="false" ht="15" hidden="false" customHeight="false" outlineLevel="0" collapsed="false">
      <c r="A35" s="2" t="s">
        <v>146</v>
      </c>
      <c r="B35" s="16" t="s">
        <v>147</v>
      </c>
      <c r="C35" s="16" t="s">
        <v>88</v>
      </c>
      <c r="D35" s="18" t="n">
        <v>0.045</v>
      </c>
      <c r="E35" s="18" t="n">
        <v>0.065</v>
      </c>
      <c r="F35" s="18" t="n">
        <v>0.09</v>
      </c>
      <c r="G35" s="19" t="n">
        <v>0.065</v>
      </c>
      <c r="H35" s="2" t="s">
        <v>148</v>
      </c>
    </row>
    <row r="36" customFormat="false" ht="15" hidden="false" customHeight="false" outlineLevel="0" collapsed="false">
      <c r="A36" s="2" t="s">
        <v>149</v>
      </c>
      <c r="B36" s="16" t="s">
        <v>150</v>
      </c>
      <c r="C36" s="16" t="s">
        <v>151</v>
      </c>
      <c r="D36" s="23" t="n">
        <v>15</v>
      </c>
      <c r="E36" s="23" t="n">
        <v>20.5</v>
      </c>
      <c r="F36" s="23" t="n">
        <v>24</v>
      </c>
      <c r="G36" s="24" t="n">
        <v>20.5</v>
      </c>
      <c r="H36" s="2" t="s">
        <v>152</v>
      </c>
    </row>
    <row r="37" customFormat="false" ht="15" hidden="false" customHeight="false" outlineLevel="0" collapsed="false">
      <c r="A37" s="2" t="s">
        <v>153</v>
      </c>
      <c r="B37" s="16" t="s">
        <v>154</v>
      </c>
      <c r="C37" s="16" t="s">
        <v>155</v>
      </c>
      <c r="D37" s="25" t="n">
        <v>15</v>
      </c>
      <c r="E37" s="25" t="n">
        <v>40</v>
      </c>
      <c r="F37" s="25" t="n">
        <v>60</v>
      </c>
      <c r="G37" s="26" t="n">
        <v>40</v>
      </c>
      <c r="H37" s="2" t="s">
        <v>156</v>
      </c>
    </row>
    <row r="38" customFormat="false" ht="15" hidden="false" customHeight="false" outlineLevel="0" collapsed="false">
      <c r="A38" s="2" t="s">
        <v>157</v>
      </c>
      <c r="B38" s="16" t="s">
        <v>158</v>
      </c>
      <c r="C38" s="16" t="s">
        <v>159</v>
      </c>
      <c r="D38" s="27" t="n">
        <v>100</v>
      </c>
      <c r="E38" s="27" t="n">
        <v>480</v>
      </c>
      <c r="F38" s="27" t="n">
        <v>1000</v>
      </c>
      <c r="G38" s="28" t="n">
        <v>480</v>
      </c>
      <c r="H38" s="2" t="s">
        <v>160</v>
      </c>
    </row>
    <row r="39" customFormat="false" ht="15" hidden="false" customHeight="false" outlineLevel="0" collapsed="false">
      <c r="A39" s="2" t="s">
        <v>161</v>
      </c>
      <c r="B39" s="16" t="s">
        <v>162</v>
      </c>
      <c r="C39" s="16" t="s">
        <v>88</v>
      </c>
      <c r="D39" s="18" t="n">
        <v>0.02</v>
      </c>
      <c r="E39" s="18" t="n">
        <v>0.025</v>
      </c>
      <c r="F39" s="18" t="n">
        <v>0.03</v>
      </c>
      <c r="G39" s="19" t="n">
        <v>0.025</v>
      </c>
      <c r="H39" s="2" t="s">
        <v>163</v>
      </c>
    </row>
    <row r="40" customFormat="false" ht="15" hidden="false" customHeight="false" outlineLevel="0" collapsed="false">
      <c r="A40" s="10" t="s">
        <v>164</v>
      </c>
      <c r="B40" s="11"/>
      <c r="C40" s="11"/>
      <c r="D40" s="11"/>
      <c r="E40" s="11"/>
      <c r="F40" s="11"/>
      <c r="G40" s="11"/>
      <c r="H40" s="11"/>
    </row>
    <row r="41" customFormat="false" ht="15" hidden="false" customHeight="false" outlineLevel="0" collapsed="false">
      <c r="A41" s="2" t="s">
        <v>165</v>
      </c>
      <c r="B41" s="16" t="s">
        <v>166</v>
      </c>
      <c r="C41" s="16" t="s">
        <v>67</v>
      </c>
      <c r="D41" s="15" t="n">
        <v>150</v>
      </c>
      <c r="E41" s="15" t="n">
        <v>250</v>
      </c>
      <c r="F41" s="15" t="n">
        <v>400</v>
      </c>
      <c r="G41" s="17" t="n">
        <v>250</v>
      </c>
      <c r="H41" s="2" t="s">
        <v>167</v>
      </c>
    </row>
    <row r="42" customFormat="false" ht="15" hidden="false" customHeight="false" outlineLevel="0" collapsed="false">
      <c r="A42" s="2" t="s">
        <v>168</v>
      </c>
      <c r="B42" s="16" t="s">
        <v>147</v>
      </c>
      <c r="C42" s="16" t="s">
        <v>88</v>
      </c>
      <c r="D42" s="18" t="n">
        <v>0.08</v>
      </c>
      <c r="E42" s="18" t="n">
        <v>0.12</v>
      </c>
      <c r="F42" s="18" t="n">
        <v>0.14</v>
      </c>
      <c r="G42" s="19" t="n">
        <v>0.12</v>
      </c>
      <c r="H42" s="2" t="s">
        <v>169</v>
      </c>
    </row>
    <row r="43" customFormat="false" ht="15" hidden="false" customHeight="false" outlineLevel="0" collapsed="false">
      <c r="A43" s="2" t="s">
        <v>170</v>
      </c>
      <c r="B43" s="16" t="s">
        <v>150</v>
      </c>
      <c r="C43" s="16" t="s">
        <v>151</v>
      </c>
      <c r="D43" s="23" t="n">
        <v>26</v>
      </c>
      <c r="E43" s="23" t="n">
        <v>40</v>
      </c>
      <c r="F43" s="23" t="n">
        <v>45</v>
      </c>
      <c r="G43" s="24" t="n">
        <v>40</v>
      </c>
      <c r="H43" s="2" t="s">
        <v>171</v>
      </c>
    </row>
    <row r="44" customFormat="false" ht="15" hidden="false" customHeight="false" outlineLevel="0" collapsed="false">
      <c r="A44" s="10" t="s">
        <v>172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2" t="s">
        <v>173</v>
      </c>
      <c r="B45" s="16" t="s">
        <v>174</v>
      </c>
      <c r="C45" s="16" t="s">
        <v>159</v>
      </c>
      <c r="D45" s="27" t="n">
        <v>4</v>
      </c>
      <c r="E45" s="27" t="n">
        <v>8</v>
      </c>
      <c r="F45" s="27" t="n">
        <v>20</v>
      </c>
      <c r="G45" s="28" t="n">
        <v>8</v>
      </c>
      <c r="H45" s="2" t="s">
        <v>175</v>
      </c>
    </row>
    <row r="46" customFormat="false" ht="15" hidden="false" customHeight="false" outlineLevel="0" collapsed="false">
      <c r="A46" s="2" t="s">
        <v>176</v>
      </c>
      <c r="B46" s="16" t="s">
        <v>177</v>
      </c>
      <c r="C46" s="16" t="s">
        <v>159</v>
      </c>
      <c r="D46" s="27" t="n">
        <v>4</v>
      </c>
      <c r="E46" s="27" t="n">
        <v>12</v>
      </c>
      <c r="F46" s="27" t="n">
        <v>20</v>
      </c>
      <c r="G46" s="28" t="n">
        <v>12</v>
      </c>
      <c r="H46" s="2" t="s">
        <v>178</v>
      </c>
    </row>
    <row r="47" customFormat="false" ht="15" hidden="false" customHeight="false" outlineLevel="0" collapsed="false">
      <c r="A47" s="10" t="s">
        <v>179</v>
      </c>
      <c r="B47" s="11"/>
      <c r="C47" s="11"/>
      <c r="D47" s="11"/>
      <c r="E47" s="11"/>
      <c r="F47" s="11"/>
      <c r="G47" s="11"/>
      <c r="H47" s="11"/>
    </row>
    <row r="48" customFormat="false" ht="15" hidden="false" customHeight="false" outlineLevel="0" collapsed="false">
      <c r="A48" s="2" t="s">
        <v>180</v>
      </c>
      <c r="B48" s="16" t="s">
        <v>181</v>
      </c>
      <c r="C48" s="16" t="s">
        <v>182</v>
      </c>
      <c r="D48" s="29" t="n">
        <v>14</v>
      </c>
      <c r="E48" s="29" t="n">
        <v>20.2379725666731</v>
      </c>
      <c r="F48" s="29" t="n">
        <v>27.5</v>
      </c>
      <c r="G48" s="30" t="n">
        <v>20.2379725666731</v>
      </c>
      <c r="H48" s="2" t="s">
        <v>183</v>
      </c>
    </row>
    <row r="49" customFormat="false" ht="15" hidden="false" customHeight="false" outlineLevel="0" collapsed="false">
      <c r="A49" s="2" t="s">
        <v>184</v>
      </c>
      <c r="B49" s="16" t="s">
        <v>185</v>
      </c>
      <c r="C49" s="16" t="s">
        <v>88</v>
      </c>
      <c r="D49" s="18" t="n">
        <v>0.48</v>
      </c>
      <c r="E49" s="18" t="n">
        <v>0.540909090909088</v>
      </c>
      <c r="F49" s="18" t="n">
        <v>0.6</v>
      </c>
      <c r="G49" s="19" t="n">
        <v>0.540909090909088</v>
      </c>
      <c r="H49" s="2" t="s">
        <v>186</v>
      </c>
    </row>
    <row r="50" customFormat="false" ht="15" hidden="false" customHeight="false" outlineLevel="0" collapsed="false">
      <c r="A50" s="2" t="s">
        <v>187</v>
      </c>
      <c r="B50" s="16" t="s">
        <v>188</v>
      </c>
      <c r="C50" s="16" t="s">
        <v>159</v>
      </c>
      <c r="D50" s="27" t="n">
        <v>22</v>
      </c>
      <c r="E50" s="27" t="n">
        <v>30.8853183090816</v>
      </c>
      <c r="F50" s="27" t="n">
        <v>40</v>
      </c>
      <c r="G50" s="28" t="n">
        <v>30.8853183090816</v>
      </c>
      <c r="H50" s="2" t="s">
        <v>189</v>
      </c>
    </row>
    <row r="51" customFormat="false" ht="15" hidden="false" customHeight="false" outlineLevel="0" collapsed="false">
      <c r="A51" s="2" t="s">
        <v>190</v>
      </c>
      <c r="B51" s="16" t="s">
        <v>191</v>
      </c>
      <c r="C51" s="16" t="s">
        <v>159</v>
      </c>
      <c r="D51" s="27" t="n">
        <v>13.3</v>
      </c>
      <c r="E51" s="27" t="n">
        <v>11.7004035197334</v>
      </c>
      <c r="F51" s="27" t="n">
        <v>10</v>
      </c>
      <c r="G51" s="28" t="n">
        <v>11.7004035197334</v>
      </c>
      <c r="H51" s="2" t="s">
        <v>192</v>
      </c>
    </row>
    <row r="52" customFormat="false" ht="15" hidden="false" customHeight="false" outlineLevel="0" collapsed="false">
      <c r="A52" s="2" t="s">
        <v>193</v>
      </c>
      <c r="B52" s="16" t="s">
        <v>194</v>
      </c>
      <c r="C52" s="16" t="s">
        <v>88</v>
      </c>
      <c r="D52" s="18" t="n">
        <v>0.04</v>
      </c>
      <c r="E52" s="18" t="n">
        <v>0.03</v>
      </c>
      <c r="F52" s="18" t="n">
        <v>0.025</v>
      </c>
      <c r="G52" s="19" t="n">
        <v>0.03</v>
      </c>
      <c r="H52" s="2" t="s">
        <v>195</v>
      </c>
    </row>
    <row r="53" customFormat="false" ht="15" hidden="false" customHeight="false" outlineLevel="0" collapsed="false">
      <c r="A53" s="10" t="s">
        <v>196</v>
      </c>
      <c r="B53" s="11"/>
      <c r="C53" s="11"/>
      <c r="D53" s="11"/>
      <c r="E53" s="11"/>
      <c r="F53" s="11"/>
      <c r="G53" s="11"/>
      <c r="H53" s="11"/>
    </row>
    <row r="54" customFormat="false" ht="15" hidden="false" customHeight="false" outlineLevel="0" collapsed="false">
      <c r="A54" s="2" t="s">
        <v>197</v>
      </c>
      <c r="B54" s="16" t="s">
        <v>198</v>
      </c>
      <c r="C54" s="16" t="s">
        <v>182</v>
      </c>
      <c r="D54" s="29" t="n">
        <v>15</v>
      </c>
      <c r="E54" s="29" t="n">
        <v>22.5</v>
      </c>
      <c r="F54" s="29" t="n">
        <v>25</v>
      </c>
      <c r="G54" s="30" t="n">
        <v>22.5</v>
      </c>
      <c r="H54" s="2" t="s">
        <v>199</v>
      </c>
    </row>
    <row r="55" customFormat="false" ht="15" hidden="false" customHeight="false" outlineLevel="0" collapsed="false">
      <c r="A55" s="2" t="s">
        <v>200</v>
      </c>
      <c r="B55" s="16" t="s">
        <v>201</v>
      </c>
      <c r="C55" s="16" t="s">
        <v>88</v>
      </c>
      <c r="D55" s="18" t="n">
        <v>0.48</v>
      </c>
      <c r="E55" s="18" t="n">
        <v>0.541111111111111</v>
      </c>
      <c r="F55" s="18" t="n">
        <v>0.6</v>
      </c>
      <c r="G55" s="19" t="n">
        <v>0.541111111111111</v>
      </c>
      <c r="H55" s="2" t="s">
        <v>202</v>
      </c>
    </row>
    <row r="56" customFormat="false" ht="15" hidden="false" customHeight="false" outlineLevel="0" collapsed="false">
      <c r="A56" s="2" t="s">
        <v>203</v>
      </c>
      <c r="B56" s="16" t="s">
        <v>204</v>
      </c>
      <c r="C56" s="16" t="s">
        <v>159</v>
      </c>
      <c r="D56" s="27" t="n">
        <v>25</v>
      </c>
      <c r="E56" s="27" t="n">
        <v>34.9583576888889</v>
      </c>
      <c r="F56" s="27" t="n">
        <v>45</v>
      </c>
      <c r="G56" s="28" t="n">
        <v>34.9583576888889</v>
      </c>
      <c r="H56" s="2" t="s">
        <v>205</v>
      </c>
    </row>
    <row r="57" customFormat="false" ht="15" hidden="false" customHeight="false" outlineLevel="0" collapsed="false">
      <c r="A57" s="2" t="s">
        <v>206</v>
      </c>
      <c r="B57" s="16" t="s">
        <v>207</v>
      </c>
      <c r="C57" s="16" t="s">
        <v>159</v>
      </c>
      <c r="D57" s="27" t="n">
        <v>13.3</v>
      </c>
      <c r="E57" s="27" t="n">
        <v>12</v>
      </c>
      <c r="F57" s="27" t="n">
        <v>10</v>
      </c>
      <c r="G57" s="28" t="n">
        <v>12</v>
      </c>
      <c r="H57" s="2" t="s">
        <v>208</v>
      </c>
    </row>
    <row r="58" customFormat="false" ht="15" hidden="false" customHeight="false" outlineLevel="0" collapsed="false">
      <c r="A58" s="2" t="s">
        <v>209</v>
      </c>
      <c r="B58" s="16" t="s">
        <v>210</v>
      </c>
      <c r="C58" s="16" t="s">
        <v>88</v>
      </c>
      <c r="D58" s="18" t="n">
        <v>0.04</v>
      </c>
      <c r="E58" s="18" t="n">
        <v>0.03</v>
      </c>
      <c r="F58" s="18" t="n">
        <v>0.025</v>
      </c>
      <c r="G58" s="19" t="n">
        <v>0.03</v>
      </c>
      <c r="H58" s="2" t="s">
        <v>211</v>
      </c>
    </row>
    <row r="59" customFormat="false" ht="15" hidden="false" customHeight="false" outlineLevel="0" collapsed="false">
      <c r="A59" s="10" t="s">
        <v>212</v>
      </c>
      <c r="B59" s="11"/>
      <c r="C59" s="11"/>
      <c r="D59" s="11"/>
      <c r="E59" s="11"/>
      <c r="F59" s="11"/>
      <c r="G59" s="11"/>
      <c r="H59" s="11"/>
    </row>
    <row r="60" customFormat="false" ht="15" hidden="false" customHeight="false" outlineLevel="0" collapsed="false">
      <c r="A60" s="2" t="s">
        <v>213</v>
      </c>
      <c r="B60" s="16" t="s">
        <v>214</v>
      </c>
      <c r="C60" s="16" t="s">
        <v>215</v>
      </c>
      <c r="D60" s="20" t="n">
        <v>16</v>
      </c>
      <c r="E60" s="20" t="n">
        <v>20</v>
      </c>
      <c r="F60" s="20" t="n">
        <v>32</v>
      </c>
      <c r="G60" s="21" t="n">
        <v>20</v>
      </c>
      <c r="H60" s="2" t="s">
        <v>216</v>
      </c>
    </row>
    <row r="61" customFormat="false" ht="15" hidden="false" customHeight="false" outlineLevel="0" collapsed="false">
      <c r="A61" s="2" t="s">
        <v>217</v>
      </c>
      <c r="B61" s="16" t="s">
        <v>218</v>
      </c>
      <c r="C61" s="16" t="s">
        <v>88</v>
      </c>
      <c r="D61" s="18" t="n">
        <v>0.6</v>
      </c>
      <c r="E61" s="18" t="n">
        <v>0.68</v>
      </c>
      <c r="F61" s="18" t="n">
        <v>0.78</v>
      </c>
      <c r="G61" s="19" t="n">
        <v>0.68</v>
      </c>
      <c r="H61" s="2" t="s">
        <v>219</v>
      </c>
    </row>
    <row r="62" customFormat="false" ht="15" hidden="false" customHeight="false" outlineLevel="0" collapsed="false">
      <c r="A62" s="10" t="s">
        <v>220</v>
      </c>
      <c r="B62" s="11"/>
      <c r="C62" s="11"/>
      <c r="D62" s="11"/>
      <c r="E62" s="11"/>
      <c r="F62" s="11"/>
      <c r="G62" s="11"/>
      <c r="H62" s="11"/>
    </row>
    <row r="63" customFormat="false" ht="15" hidden="false" customHeight="false" outlineLevel="0" collapsed="false">
      <c r="A63" s="2" t="s">
        <v>221</v>
      </c>
      <c r="B63" s="16" t="s">
        <v>222</v>
      </c>
      <c r="C63" s="16" t="s">
        <v>182</v>
      </c>
      <c r="D63" s="29" t="n">
        <v>25</v>
      </c>
      <c r="E63" s="29" t="n">
        <v>25</v>
      </c>
      <c r="F63" s="29" t="n">
        <v>25</v>
      </c>
      <c r="G63" s="30" t="n">
        <v>25</v>
      </c>
      <c r="H63" s="2" t="s">
        <v>223</v>
      </c>
    </row>
    <row r="64" customFormat="false" ht="15" hidden="false" customHeight="false" outlineLevel="0" collapsed="false">
      <c r="A64" s="2" t="s">
        <v>224</v>
      </c>
      <c r="B64" s="16" t="s">
        <v>225</v>
      </c>
      <c r="C64" s="16" t="s">
        <v>88</v>
      </c>
      <c r="D64" s="18" t="n">
        <v>0.5</v>
      </c>
      <c r="E64" s="18" t="n">
        <v>0.525</v>
      </c>
      <c r="F64" s="18" t="n">
        <v>0.55</v>
      </c>
      <c r="G64" s="19" t="n">
        <v>0.525</v>
      </c>
      <c r="H64" s="2" t="s">
        <v>226</v>
      </c>
    </row>
    <row r="65" customFormat="false" ht="15" hidden="false" customHeight="false" outlineLevel="0" collapsed="false">
      <c r="A65" s="2" t="s">
        <v>227</v>
      </c>
      <c r="B65" s="16" t="s">
        <v>228</v>
      </c>
      <c r="C65" s="16" t="s">
        <v>159</v>
      </c>
      <c r="D65" s="27" t="n">
        <v>28</v>
      </c>
      <c r="E65" s="27" t="n">
        <v>30</v>
      </c>
      <c r="F65" s="27" t="n">
        <v>32</v>
      </c>
      <c r="G65" s="28" t="n">
        <v>30</v>
      </c>
      <c r="H65" s="2" t="s">
        <v>229</v>
      </c>
    </row>
    <row r="66" customFormat="false" ht="15" hidden="false" customHeight="false" outlineLevel="0" collapsed="false">
      <c r="A66" s="10" t="s">
        <v>230</v>
      </c>
      <c r="B66" s="11"/>
      <c r="C66" s="11"/>
      <c r="D66" s="11"/>
      <c r="E66" s="11"/>
      <c r="F66" s="11"/>
      <c r="G66" s="11"/>
      <c r="H66" s="11"/>
    </row>
    <row r="67" customFormat="false" ht="15" hidden="false" customHeight="false" outlineLevel="0" collapsed="false">
      <c r="A67" s="2" t="s">
        <v>231</v>
      </c>
      <c r="B67" s="16" t="s">
        <v>232</v>
      </c>
      <c r="C67" s="16" t="s">
        <v>159</v>
      </c>
      <c r="D67" s="27" t="n">
        <v>50</v>
      </c>
      <c r="E67" s="27" t="n">
        <v>60</v>
      </c>
      <c r="F67" s="27" t="n">
        <v>65</v>
      </c>
      <c r="G67" s="28" t="n">
        <v>60</v>
      </c>
      <c r="H67" s="2" t="s">
        <v>233</v>
      </c>
    </row>
    <row r="68" customFormat="false" ht="15" hidden="false" customHeight="false" outlineLevel="0" collapsed="false">
      <c r="A68" s="2" t="s">
        <v>234</v>
      </c>
      <c r="B68" s="16" t="s">
        <v>235</v>
      </c>
      <c r="C68" s="16" t="s">
        <v>159</v>
      </c>
      <c r="D68" s="27" t="n">
        <v>85</v>
      </c>
      <c r="E68" s="27" t="n">
        <v>100</v>
      </c>
      <c r="F68" s="27" t="n">
        <v>110</v>
      </c>
      <c r="G68" s="28" t="n">
        <v>100</v>
      </c>
      <c r="H68" s="2" t="s">
        <v>236</v>
      </c>
    </row>
    <row r="69" customFormat="false" ht="15" hidden="false" customHeight="false" outlineLevel="0" collapsed="false">
      <c r="A69" s="2" t="s">
        <v>237</v>
      </c>
      <c r="B69" s="16" t="s">
        <v>238</v>
      </c>
      <c r="C69" s="16" t="s">
        <v>88</v>
      </c>
      <c r="D69" s="18" t="n">
        <v>0.45</v>
      </c>
      <c r="E69" s="18" t="n">
        <v>1.27409281012993</v>
      </c>
      <c r="F69" s="18" t="n">
        <v>1.4</v>
      </c>
      <c r="G69" s="19" t="n">
        <v>1.27409281012993</v>
      </c>
      <c r="H69" s="2" t="s">
        <v>239</v>
      </c>
    </row>
    <row r="70" customFormat="false" ht="15" hidden="false" customHeight="false" outlineLevel="0" collapsed="false">
      <c r="A70" s="2" t="s">
        <v>240</v>
      </c>
      <c r="B70" s="16" t="s">
        <v>241</v>
      </c>
      <c r="C70" s="16" t="s">
        <v>88</v>
      </c>
      <c r="D70" s="18" t="n">
        <v>0.3</v>
      </c>
      <c r="E70" s="18" t="n">
        <v>0.657971176976747</v>
      </c>
      <c r="F70" s="18" t="n">
        <v>0.75</v>
      </c>
      <c r="G70" s="19" t="n">
        <v>0.657971176976747</v>
      </c>
      <c r="H70" s="2"/>
    </row>
    <row r="71" customFormat="false" ht="15" hidden="false" customHeight="false" outlineLevel="0" collapsed="false">
      <c r="A71" s="2" t="s">
        <v>242</v>
      </c>
      <c r="B71" s="16" t="s">
        <v>243</v>
      </c>
      <c r="C71" s="16" t="s">
        <v>88</v>
      </c>
      <c r="D71" s="18" t="n">
        <v>0.2</v>
      </c>
      <c r="E71" s="18" t="n">
        <v>0.342290767401188</v>
      </c>
      <c r="F71" s="18" t="n">
        <v>0.45</v>
      </c>
      <c r="G71" s="19" t="n">
        <v>0.342290767401188</v>
      </c>
      <c r="H71" s="2"/>
    </row>
    <row r="72" customFormat="false" ht="15" hidden="false" customHeight="false" outlineLevel="0" collapsed="false">
      <c r="A72" s="2" t="s">
        <v>244</v>
      </c>
      <c r="B72" s="16" t="s">
        <v>245</v>
      </c>
      <c r="C72" s="16" t="s">
        <v>88</v>
      </c>
      <c r="D72" s="18" t="n">
        <v>0.12</v>
      </c>
      <c r="E72" s="18" t="n">
        <v>0.226846830456758</v>
      </c>
      <c r="F72" s="18" t="n">
        <v>0.3</v>
      </c>
      <c r="G72" s="19" t="n">
        <v>0.226846830456758</v>
      </c>
      <c r="H72" s="2"/>
    </row>
    <row r="73" customFormat="false" ht="15" hidden="false" customHeight="false" outlineLevel="0" collapsed="false">
      <c r="A73" s="2" t="s">
        <v>246</v>
      </c>
      <c r="B73" s="16" t="s">
        <v>247</v>
      </c>
      <c r="C73" s="16" t="s">
        <v>88</v>
      </c>
      <c r="D73" s="18" t="n">
        <v>0.4</v>
      </c>
      <c r="E73" s="18" t="n">
        <v>0.94533333333333</v>
      </c>
      <c r="F73" s="18" t="n">
        <v>1.1</v>
      </c>
      <c r="G73" s="19" t="n">
        <v>0.94533333333333</v>
      </c>
      <c r="H73" s="2" t="s">
        <v>248</v>
      </c>
    </row>
    <row r="74" customFormat="false" ht="15" hidden="false" customHeight="false" outlineLevel="0" collapsed="false">
      <c r="A74" s="2" t="s">
        <v>249</v>
      </c>
      <c r="B74" s="16" t="s">
        <v>250</v>
      </c>
      <c r="C74" s="16" t="s">
        <v>88</v>
      </c>
      <c r="D74" s="18" t="n">
        <v>0.22</v>
      </c>
      <c r="E74" s="18" t="n">
        <v>0.513324194653875</v>
      </c>
      <c r="F74" s="18" t="n">
        <v>0.6</v>
      </c>
      <c r="G74" s="19" t="n">
        <v>0.513324194653875</v>
      </c>
      <c r="H74" s="2"/>
    </row>
    <row r="75" customFormat="false" ht="15" hidden="false" customHeight="false" outlineLevel="0" collapsed="false">
      <c r="A75" s="2" t="s">
        <v>251</v>
      </c>
      <c r="B75" s="16" t="s">
        <v>252</v>
      </c>
      <c r="C75" s="16" t="s">
        <v>88</v>
      </c>
      <c r="D75" s="18" t="n">
        <v>0.12</v>
      </c>
      <c r="E75" s="18" t="n">
        <v>0.288431448922223</v>
      </c>
      <c r="F75" s="18" t="n">
        <v>0.35</v>
      </c>
      <c r="G75" s="19" t="n">
        <v>0.288431448922223</v>
      </c>
      <c r="H75" s="2"/>
    </row>
    <row r="76" customFormat="false" ht="15" hidden="false" customHeight="false" outlineLevel="0" collapsed="false">
      <c r="A76" s="2" t="s">
        <v>253</v>
      </c>
      <c r="B76" s="16" t="s">
        <v>254</v>
      </c>
      <c r="C76" s="16" t="s">
        <v>88</v>
      </c>
      <c r="D76" s="18" t="n">
        <v>0.06</v>
      </c>
      <c r="E76" s="18" t="n">
        <v>0.244205727356943</v>
      </c>
      <c r="F76" s="18" t="n">
        <v>0.28</v>
      </c>
      <c r="G76" s="19" t="n">
        <v>0.244205727356943</v>
      </c>
      <c r="H76" s="2"/>
    </row>
    <row r="77" customFormat="false" ht="15" hidden="false" customHeight="false" outlineLevel="0" collapsed="false">
      <c r="A77" s="10" t="s">
        <v>255</v>
      </c>
      <c r="B77" s="11"/>
      <c r="C77" s="11"/>
      <c r="D77" s="11"/>
      <c r="E77" s="11"/>
      <c r="F77" s="11"/>
      <c r="G77" s="11"/>
      <c r="H77" s="11"/>
    </row>
    <row r="78" customFormat="false" ht="15" hidden="false" customHeight="false" outlineLevel="0" collapsed="false">
      <c r="A78" s="2" t="s">
        <v>256</v>
      </c>
      <c r="B78" s="16" t="s">
        <v>257</v>
      </c>
      <c r="C78" s="16" t="s">
        <v>159</v>
      </c>
      <c r="D78" s="27" t="n">
        <v>338.098594243668</v>
      </c>
      <c r="E78" s="27" t="n">
        <v>338.098594243668</v>
      </c>
      <c r="F78" s="27" t="n">
        <v>338.098594243668</v>
      </c>
      <c r="G78" s="28" t="n">
        <v>338.098594243668</v>
      </c>
      <c r="H78" s="2" t="s">
        <v>258</v>
      </c>
    </row>
    <row r="79" customFormat="false" ht="15" hidden="false" customHeight="false" outlineLevel="0" collapsed="false">
      <c r="A79" s="2" t="s">
        <v>259</v>
      </c>
      <c r="B79" s="16" t="s">
        <v>260</v>
      </c>
      <c r="C79" s="16" t="s">
        <v>159</v>
      </c>
      <c r="D79" s="27" t="n">
        <v>36.5</v>
      </c>
      <c r="E79" s="27" t="n">
        <v>36.5</v>
      </c>
      <c r="F79" s="27" t="n">
        <v>36.5</v>
      </c>
      <c r="G79" s="28" t="n">
        <v>36.5</v>
      </c>
      <c r="H79" s="2" t="s">
        <v>261</v>
      </c>
    </row>
    <row r="80" customFormat="false" ht="15" hidden="false" customHeight="false" outlineLevel="0" collapsed="false">
      <c r="A80" s="2" t="s">
        <v>262</v>
      </c>
      <c r="B80" s="16" t="s">
        <v>263</v>
      </c>
      <c r="C80" s="16" t="s">
        <v>159</v>
      </c>
      <c r="D80" s="27" t="n">
        <v>372.5403858555</v>
      </c>
      <c r="E80" s="27" t="n">
        <v>372.5403858555</v>
      </c>
      <c r="F80" s="27" t="n">
        <v>372.5403858555</v>
      </c>
      <c r="G80" s="28" t="n">
        <v>372.5403858555</v>
      </c>
      <c r="H80" s="2" t="s">
        <v>264</v>
      </c>
    </row>
    <row r="81" customFormat="false" ht="15" hidden="false" customHeight="false" outlineLevel="0" collapsed="false">
      <c r="A81" s="2" t="s">
        <v>265</v>
      </c>
      <c r="B81" s="16" t="s">
        <v>266</v>
      </c>
      <c r="C81" s="16" t="s">
        <v>159</v>
      </c>
      <c r="D81" s="27" t="n">
        <v>60</v>
      </c>
      <c r="E81" s="27" t="n">
        <v>60</v>
      </c>
      <c r="F81" s="27" t="n">
        <v>60</v>
      </c>
      <c r="G81" s="28" t="n">
        <v>60</v>
      </c>
      <c r="H81" s="2" t="s">
        <v>267</v>
      </c>
    </row>
    <row r="82" customFormat="false" ht="15" hidden="false" customHeight="false" outlineLevel="0" collapsed="false">
      <c r="A82" s="2" t="s">
        <v>268</v>
      </c>
      <c r="B82" s="16" t="s">
        <v>269</v>
      </c>
      <c r="C82" s="16" t="s">
        <v>182</v>
      </c>
      <c r="D82" s="29" t="n">
        <v>20.2379725666731</v>
      </c>
      <c r="E82" s="29" t="n">
        <v>20.2379725666731</v>
      </c>
      <c r="F82" s="29" t="n">
        <v>20.2379725666731</v>
      </c>
      <c r="G82" s="30" t="n">
        <v>20.2379725666731</v>
      </c>
      <c r="H82" s="2" t="s">
        <v>270</v>
      </c>
    </row>
    <row r="83" customFormat="false" ht="15" hidden="false" customHeight="false" outlineLevel="0" collapsed="false">
      <c r="A83" s="2" t="s">
        <v>271</v>
      </c>
      <c r="B83" s="16" t="s">
        <v>272</v>
      </c>
      <c r="C83" s="16" t="s">
        <v>182</v>
      </c>
      <c r="D83" s="29" t="n">
        <v>22.0777882545524</v>
      </c>
      <c r="E83" s="29" t="n">
        <v>22.0777882545524</v>
      </c>
      <c r="F83" s="29" t="n">
        <v>22.0777882545524</v>
      </c>
      <c r="G83" s="30" t="n">
        <v>22.0777882545524</v>
      </c>
      <c r="H83" s="2" t="s">
        <v>273</v>
      </c>
    </row>
    <row r="84" customFormat="false" ht="15" hidden="false" customHeight="false" outlineLevel="0" collapsed="false">
      <c r="A84" s="2" t="s">
        <v>274</v>
      </c>
      <c r="B84" s="16" t="s">
        <v>275</v>
      </c>
      <c r="C84" s="16" t="s">
        <v>182</v>
      </c>
      <c r="D84" s="29" t="n">
        <v>10.9469033428822</v>
      </c>
      <c r="E84" s="29" t="n">
        <v>10.9469033428822</v>
      </c>
      <c r="F84" s="29" t="n">
        <v>10.9469033428822</v>
      </c>
      <c r="G84" s="30" t="n">
        <v>10.9469033428822</v>
      </c>
      <c r="H84" s="2" t="s">
        <v>276</v>
      </c>
    </row>
    <row r="85" customFormat="false" ht="15" hidden="false" customHeight="false" outlineLevel="0" collapsed="false">
      <c r="A85" s="2" t="s">
        <v>277</v>
      </c>
      <c r="B85" s="16" t="s">
        <v>278</v>
      </c>
      <c r="C85" s="16" t="s">
        <v>88</v>
      </c>
      <c r="D85" s="18" t="n">
        <v>0.540909090909088</v>
      </c>
      <c r="E85" s="18" t="n">
        <v>0.540909090909088</v>
      </c>
      <c r="F85" s="18" t="n">
        <v>0.540909090909088</v>
      </c>
      <c r="G85" s="19" t="n">
        <v>0.540909090909088</v>
      </c>
      <c r="H85" s="2" t="s">
        <v>279</v>
      </c>
    </row>
    <row r="86" customFormat="false" ht="15" hidden="false" customHeight="false" outlineLevel="0" collapsed="false">
      <c r="A86" s="2" t="s">
        <v>280</v>
      </c>
      <c r="B86" s="16" t="s">
        <v>281</v>
      </c>
      <c r="C86" s="16" t="s">
        <v>88</v>
      </c>
      <c r="D86" s="18" t="n">
        <v>0.55</v>
      </c>
      <c r="E86" s="18" t="n">
        <v>0.55</v>
      </c>
      <c r="F86" s="18" t="n">
        <v>0.55</v>
      </c>
      <c r="G86" s="19" t="n">
        <v>0.55</v>
      </c>
      <c r="H86" s="2" t="s">
        <v>282</v>
      </c>
    </row>
    <row r="87" customFormat="false" ht="15" hidden="false" customHeight="false" outlineLevel="0" collapsed="false">
      <c r="A87" s="2" t="s">
        <v>283</v>
      </c>
      <c r="B87" s="16" t="s">
        <v>284</v>
      </c>
      <c r="C87" s="16" t="s">
        <v>159</v>
      </c>
      <c r="D87" s="27" t="n">
        <v>30.8853183090816</v>
      </c>
      <c r="E87" s="27" t="n">
        <v>30.8853183090816</v>
      </c>
      <c r="F87" s="27" t="n">
        <v>30.8853183090816</v>
      </c>
      <c r="G87" s="28" t="n">
        <v>30.8853183090816</v>
      </c>
      <c r="H87" s="2" t="s">
        <v>285</v>
      </c>
    </row>
    <row r="88" customFormat="false" ht="15" hidden="false" customHeight="false" outlineLevel="0" collapsed="false">
      <c r="A88" s="2" t="s">
        <v>286</v>
      </c>
      <c r="B88" s="16" t="s">
        <v>287</v>
      </c>
      <c r="C88" s="16" t="s">
        <v>159</v>
      </c>
      <c r="D88" s="27" t="n">
        <v>16.7061494490032</v>
      </c>
      <c r="E88" s="27" t="n">
        <v>16.7061494490032</v>
      </c>
      <c r="F88" s="27" t="n">
        <v>16.7061494490032</v>
      </c>
      <c r="G88" s="28" t="n">
        <v>16.7061494490032</v>
      </c>
      <c r="H88" s="2" t="s">
        <v>288</v>
      </c>
    </row>
    <row r="89" customFormat="false" ht="15" hidden="false" customHeight="false" outlineLevel="0" collapsed="false">
      <c r="A89" s="2" t="s">
        <v>289</v>
      </c>
      <c r="B89" s="16" t="s">
        <v>290</v>
      </c>
      <c r="C89" s="16" t="s">
        <v>159</v>
      </c>
      <c r="D89" s="27" t="n">
        <v>11.7004035197334</v>
      </c>
      <c r="E89" s="27" t="n">
        <v>11.7004035197334</v>
      </c>
      <c r="F89" s="27" t="n">
        <v>11.7004035197334</v>
      </c>
      <c r="G89" s="28" t="n">
        <v>11.7004035197334</v>
      </c>
      <c r="H89" s="2" t="s">
        <v>291</v>
      </c>
    </row>
    <row r="90" customFormat="false" ht="15" hidden="false" customHeight="false" outlineLevel="0" collapsed="false">
      <c r="A90" s="2" t="s">
        <v>292</v>
      </c>
      <c r="B90" s="16" t="s">
        <v>293</v>
      </c>
      <c r="C90" s="16" t="s">
        <v>88</v>
      </c>
      <c r="D90" s="18" t="n">
        <v>0.59116616695859</v>
      </c>
      <c r="E90" s="18" t="n">
        <v>0.59116616695859</v>
      </c>
      <c r="F90" s="18" t="n">
        <v>0.59116616695859</v>
      </c>
      <c r="G90" s="19" t="n">
        <v>0.59116616695859</v>
      </c>
      <c r="H90" s="2" t="s">
        <v>294</v>
      </c>
    </row>
    <row r="91" customFormat="false" ht="15" hidden="false" customHeight="false" outlineLevel="0" collapsed="false">
      <c r="A91" s="2" t="s">
        <v>295</v>
      </c>
      <c r="B91" s="16" t="s">
        <v>296</v>
      </c>
      <c r="C91" s="16" t="s">
        <v>159</v>
      </c>
      <c r="D91" s="27" t="n">
        <v>0</v>
      </c>
      <c r="E91" s="27" t="n">
        <v>0</v>
      </c>
      <c r="F91" s="27" t="n">
        <v>0</v>
      </c>
      <c r="G91" s="28" t="n">
        <v>0</v>
      </c>
      <c r="H91" s="2" t="s">
        <v>297</v>
      </c>
    </row>
    <row r="92" customFormat="false" ht="15" hidden="false" customHeight="false" outlineLevel="0" collapsed="false">
      <c r="A92" s="2" t="s">
        <v>298</v>
      </c>
      <c r="B92" s="16" t="s">
        <v>299</v>
      </c>
      <c r="C92" s="16" t="s">
        <v>159</v>
      </c>
      <c r="D92" s="27" t="n">
        <v>253.098834308589</v>
      </c>
      <c r="E92" s="27" t="n">
        <v>253.098834308589</v>
      </c>
      <c r="F92" s="27" t="n">
        <v>253.098834308589</v>
      </c>
      <c r="G92" s="28" t="n">
        <v>253.098834308589</v>
      </c>
      <c r="H92" s="2" t="s">
        <v>300</v>
      </c>
    </row>
    <row r="93" customFormat="false" ht="15" hidden="false" customHeight="false" outlineLevel="0" collapsed="false">
      <c r="A93" s="2" t="s">
        <v>301</v>
      </c>
      <c r="B93" s="16" t="s">
        <v>302</v>
      </c>
      <c r="C93" s="16" t="s">
        <v>159</v>
      </c>
      <c r="D93" s="27" t="n">
        <v>27.0830025999354</v>
      </c>
      <c r="E93" s="27" t="n">
        <v>27.0830025999354</v>
      </c>
      <c r="F93" s="27" t="n">
        <v>27.0830025999354</v>
      </c>
      <c r="G93" s="28" t="n">
        <v>27.0830025999354</v>
      </c>
      <c r="H93" s="2" t="s">
        <v>303</v>
      </c>
    </row>
    <row r="94" customFormat="false" ht="15" hidden="false" customHeight="false" outlineLevel="0" collapsed="false">
      <c r="A94" s="2" t="s">
        <v>304</v>
      </c>
      <c r="B94" s="16" t="s">
        <v>305</v>
      </c>
      <c r="C94" s="16" t="s">
        <v>159</v>
      </c>
      <c r="D94" s="27" t="n">
        <v>425.618004862222</v>
      </c>
      <c r="E94" s="27" t="n">
        <v>425.618004862222</v>
      </c>
      <c r="F94" s="27" t="n">
        <v>425.618004862222</v>
      </c>
      <c r="G94" s="28" t="n">
        <v>425.618004862222</v>
      </c>
      <c r="H94" s="2" t="s">
        <v>306</v>
      </c>
    </row>
    <row r="95" customFormat="false" ht="15" hidden="false" customHeight="false" outlineLevel="0" collapsed="false">
      <c r="A95" s="2" t="s">
        <v>307</v>
      </c>
      <c r="B95" s="16" t="s">
        <v>308</v>
      </c>
      <c r="C95" s="16" t="s">
        <v>159</v>
      </c>
      <c r="D95" s="27" t="n">
        <v>57</v>
      </c>
      <c r="E95" s="27" t="n">
        <v>57</v>
      </c>
      <c r="F95" s="27" t="n">
        <v>57</v>
      </c>
      <c r="G95" s="28" t="n">
        <v>57</v>
      </c>
      <c r="H95" s="2" t="s">
        <v>309</v>
      </c>
    </row>
    <row r="96" customFormat="false" ht="15" hidden="false" customHeight="false" outlineLevel="0" collapsed="false">
      <c r="A96" s="2" t="s">
        <v>310</v>
      </c>
      <c r="B96" s="16" t="s">
        <v>311</v>
      </c>
      <c r="C96" s="16" t="s">
        <v>159</v>
      </c>
      <c r="D96" s="27" t="n">
        <v>471.932098613333</v>
      </c>
      <c r="E96" s="27" t="n">
        <v>471.932098613333</v>
      </c>
      <c r="F96" s="27" t="n">
        <v>471.932098613333</v>
      </c>
      <c r="G96" s="28" t="n">
        <v>471.932098613333</v>
      </c>
      <c r="H96" s="2" t="s">
        <v>312</v>
      </c>
    </row>
    <row r="97" customFormat="false" ht="15" hidden="false" customHeight="false" outlineLevel="0" collapsed="false">
      <c r="A97" s="2" t="s">
        <v>313</v>
      </c>
      <c r="B97" s="16" t="s">
        <v>314</v>
      </c>
      <c r="C97" s="16" t="s">
        <v>159</v>
      </c>
      <c r="D97" s="27" t="n">
        <v>100</v>
      </c>
      <c r="E97" s="27" t="n">
        <v>100</v>
      </c>
      <c r="F97" s="27" t="n">
        <v>100</v>
      </c>
      <c r="G97" s="28" t="n">
        <v>100</v>
      </c>
      <c r="H97" s="2" t="s">
        <v>315</v>
      </c>
    </row>
    <row r="98" customFormat="false" ht="15" hidden="false" customHeight="false" outlineLevel="0" collapsed="false">
      <c r="A98" s="2" t="s">
        <v>316</v>
      </c>
      <c r="B98" s="16" t="s">
        <v>317</v>
      </c>
      <c r="C98" s="16" t="s">
        <v>182</v>
      </c>
      <c r="D98" s="29" t="n">
        <v>22.5</v>
      </c>
      <c r="E98" s="29" t="n">
        <v>22.5</v>
      </c>
      <c r="F98" s="29" t="n">
        <v>22.5</v>
      </c>
      <c r="G98" s="30" t="n">
        <v>22.5</v>
      </c>
      <c r="H98" s="2" t="s">
        <v>318</v>
      </c>
    </row>
    <row r="99" customFormat="false" ht="15" hidden="false" customHeight="false" outlineLevel="0" collapsed="false">
      <c r="A99" s="2" t="s">
        <v>319</v>
      </c>
      <c r="B99" s="16" t="s">
        <v>320</v>
      </c>
      <c r="C99" s="16" t="s">
        <v>182</v>
      </c>
      <c r="D99" s="29" t="n">
        <v>25</v>
      </c>
      <c r="E99" s="29" t="n">
        <v>25</v>
      </c>
      <c r="F99" s="29" t="n">
        <v>25</v>
      </c>
      <c r="G99" s="30" t="n">
        <v>25</v>
      </c>
      <c r="H99" s="2" t="s">
        <v>321</v>
      </c>
    </row>
    <row r="100" customFormat="false" ht="15" hidden="false" customHeight="false" outlineLevel="0" collapsed="false">
      <c r="A100" s="2" t="s">
        <v>322</v>
      </c>
      <c r="B100" s="16" t="s">
        <v>323</v>
      </c>
      <c r="C100" s="16" t="s">
        <v>182</v>
      </c>
      <c r="D100" s="29" t="n">
        <v>12.175</v>
      </c>
      <c r="E100" s="29" t="n">
        <v>12.175</v>
      </c>
      <c r="F100" s="29" t="n">
        <v>12.175</v>
      </c>
      <c r="G100" s="30" t="n">
        <v>12.175</v>
      </c>
      <c r="H100" s="2" t="s">
        <v>324</v>
      </c>
    </row>
    <row r="101" customFormat="false" ht="15" hidden="false" customHeight="false" outlineLevel="0" collapsed="false">
      <c r="A101" s="2" t="s">
        <v>325</v>
      </c>
      <c r="B101" s="16" t="s">
        <v>326</v>
      </c>
      <c r="C101" s="16" t="s">
        <v>88</v>
      </c>
      <c r="D101" s="18" t="n">
        <v>0.541111111111111</v>
      </c>
      <c r="E101" s="18" t="n">
        <v>0.541111111111111</v>
      </c>
      <c r="F101" s="18" t="n">
        <v>0.541111111111111</v>
      </c>
      <c r="G101" s="19" t="n">
        <v>0.541111111111111</v>
      </c>
      <c r="H101" s="2" t="s">
        <v>327</v>
      </c>
    </row>
    <row r="102" customFormat="false" ht="15" hidden="false" customHeight="false" outlineLevel="0" collapsed="false">
      <c r="A102" s="2" t="s">
        <v>328</v>
      </c>
      <c r="B102" s="16" t="s">
        <v>329</v>
      </c>
      <c r="C102" s="16" t="s">
        <v>88</v>
      </c>
      <c r="D102" s="18" t="n">
        <v>0.55</v>
      </c>
      <c r="E102" s="18" t="n">
        <v>0.55</v>
      </c>
      <c r="F102" s="18" t="n">
        <v>0.55</v>
      </c>
      <c r="G102" s="19" t="n">
        <v>0.55</v>
      </c>
      <c r="H102" s="2" t="s">
        <v>330</v>
      </c>
    </row>
    <row r="103" customFormat="false" ht="15" hidden="false" customHeight="false" outlineLevel="0" collapsed="false">
      <c r="A103" s="2" t="s">
        <v>331</v>
      </c>
      <c r="B103" s="16" t="s">
        <v>332</v>
      </c>
      <c r="C103" s="16" t="s">
        <v>159</v>
      </c>
      <c r="D103" s="27" t="n">
        <v>34.9583576888889</v>
      </c>
      <c r="E103" s="27" t="n">
        <v>34.9583576888889</v>
      </c>
      <c r="F103" s="27" t="n">
        <v>34.9583576888889</v>
      </c>
      <c r="G103" s="28" t="n">
        <v>34.9583576888889</v>
      </c>
      <c r="H103" s="2" t="s">
        <v>333</v>
      </c>
    </row>
    <row r="104" customFormat="false" ht="15" hidden="false" customHeight="false" outlineLevel="0" collapsed="false">
      <c r="A104" s="2" t="s">
        <v>334</v>
      </c>
      <c r="B104" s="16" t="s">
        <v>335</v>
      </c>
      <c r="C104" s="16" t="s">
        <v>159</v>
      </c>
      <c r="D104" s="27" t="n">
        <v>18.9163557716543</v>
      </c>
      <c r="E104" s="27" t="n">
        <v>18.9163557716543</v>
      </c>
      <c r="F104" s="27" t="n">
        <v>18.9163557716543</v>
      </c>
      <c r="G104" s="28" t="n">
        <v>18.9163557716543</v>
      </c>
      <c r="H104" s="2" t="s">
        <v>336</v>
      </c>
    </row>
    <row r="105" customFormat="false" ht="15" hidden="false" customHeight="false" outlineLevel="0" collapsed="false">
      <c r="A105" s="2" t="s">
        <v>337</v>
      </c>
      <c r="B105" s="16" t="s">
        <v>338</v>
      </c>
      <c r="C105" s="16" t="s">
        <v>159</v>
      </c>
      <c r="D105" s="27" t="n">
        <v>12</v>
      </c>
      <c r="E105" s="27" t="n">
        <v>12</v>
      </c>
      <c r="F105" s="27" t="n">
        <v>12</v>
      </c>
      <c r="G105" s="28" t="n">
        <v>12</v>
      </c>
      <c r="H105" s="2" t="s">
        <v>339</v>
      </c>
    </row>
    <row r="106" customFormat="false" ht="15" hidden="false" customHeight="false" outlineLevel="0" collapsed="false">
      <c r="A106" s="2" t="s">
        <v>340</v>
      </c>
      <c r="B106" s="16" t="s">
        <v>341</v>
      </c>
      <c r="C106" s="16" t="s">
        <v>88</v>
      </c>
      <c r="D106" s="18" t="n">
        <v>0.626734446543693</v>
      </c>
      <c r="E106" s="18" t="n">
        <v>0.626734446543693</v>
      </c>
      <c r="F106" s="18" t="n">
        <v>0.626734446543693</v>
      </c>
      <c r="G106" s="19" t="n">
        <v>0.626734446543693</v>
      </c>
      <c r="H106" s="2" t="s">
        <v>342</v>
      </c>
    </row>
    <row r="107" customFormat="false" ht="15" hidden="false" customHeight="false" outlineLevel="0" collapsed="false">
      <c r="A107" s="2" t="s">
        <v>343</v>
      </c>
      <c r="B107" s="16" t="s">
        <v>344</v>
      </c>
      <c r="C107" s="16" t="s">
        <v>159</v>
      </c>
      <c r="D107" s="27" t="n">
        <v>48.0358739627109</v>
      </c>
      <c r="E107" s="27" t="n">
        <v>48.0358739627109</v>
      </c>
      <c r="F107" s="27" t="n">
        <v>48.0358739627109</v>
      </c>
      <c r="G107" s="28" t="n">
        <v>48.0358739627109</v>
      </c>
      <c r="H107" s="2" t="s">
        <v>345</v>
      </c>
    </row>
    <row r="108" customFormat="false" ht="15" hidden="false" customHeight="false" outlineLevel="0" collapsed="false">
      <c r="A108" s="2" t="s">
        <v>346</v>
      </c>
      <c r="B108" s="16" t="s">
        <v>347</v>
      </c>
      <c r="C108" s="16" t="s">
        <v>159</v>
      </c>
      <c r="D108" s="27" t="n">
        <v>282.39</v>
      </c>
      <c r="E108" s="27" t="n">
        <v>282.39</v>
      </c>
      <c r="F108" s="27" t="n">
        <v>282.39</v>
      </c>
      <c r="G108" s="28" t="n">
        <v>282.39</v>
      </c>
      <c r="H108" s="2" t="s">
        <v>348</v>
      </c>
    </row>
    <row r="109" customFormat="false" ht="15" hidden="false" customHeight="false" outlineLevel="0" collapsed="false">
      <c r="A109" s="2" t="s">
        <v>349</v>
      </c>
      <c r="B109" s="16" t="s">
        <v>350</v>
      </c>
      <c r="C109" s="16" t="s">
        <v>159</v>
      </c>
      <c r="D109" s="27" t="n">
        <v>40.169133192389</v>
      </c>
      <c r="E109" s="27" t="n">
        <v>40.169133192389</v>
      </c>
      <c r="F109" s="27" t="n">
        <v>40.169133192389</v>
      </c>
      <c r="G109" s="28" t="n">
        <v>40.169133192389</v>
      </c>
      <c r="H109" s="2" t="s">
        <v>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70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352</v>
      </c>
    </row>
    <row r="2" customFormat="false" ht="15" hidden="false" customHeight="false" outlineLevel="0" collapsed="false">
      <c r="A2" s="2" t="s">
        <v>353</v>
      </c>
    </row>
    <row r="4" customFormat="false" ht="15" hidden="false" customHeight="false" outlineLevel="0" collapsed="false">
      <c r="A4" s="3" t="s">
        <v>20</v>
      </c>
      <c r="B4" s="3" t="s">
        <v>61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354</v>
      </c>
    </row>
    <row r="5" customFormat="false" ht="15" hidden="false" customHeight="false" outlineLevel="0" collapsed="false">
      <c r="A5" s="10" t="s">
        <v>355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6" t="s">
        <v>356</v>
      </c>
      <c r="B6" s="16" t="s">
        <v>155</v>
      </c>
      <c r="C6" s="31" t="n">
        <f aca="false">Inputs!$D$9*Inputs!$D$17*1000</f>
        <v>5760</v>
      </c>
      <c r="D6" s="31" t="n">
        <f aca="false">Inputs!$E$9*Inputs!$E$17*1000</f>
        <v>12600</v>
      </c>
      <c r="E6" s="31" t="n">
        <f aca="false">Inputs!$F$9*Inputs!$F$17*1000</f>
        <v>16000</v>
      </c>
      <c r="F6" s="31" t="n">
        <f aca="false">Inputs!$G$9*Inputs!$G$17*1000</f>
        <v>12600</v>
      </c>
      <c r="G6" s="2" t="s">
        <v>357</v>
      </c>
    </row>
    <row r="7" customFormat="false" ht="15" hidden="false" customHeight="false" outlineLevel="0" collapsed="false">
      <c r="A7" s="16" t="s">
        <v>358</v>
      </c>
      <c r="B7" s="16" t="s">
        <v>155</v>
      </c>
      <c r="C7" s="31" t="n">
        <f aca="false">Inputs!$D$10*Inputs!$D$18*1000</f>
        <v>1140</v>
      </c>
      <c r="D7" s="31" t="n">
        <f aca="false">Inputs!$E$10*Inputs!$E$18*1000</f>
        <v>2700</v>
      </c>
      <c r="E7" s="31" t="n">
        <f aca="false">Inputs!$F$10*Inputs!$F$18*1000</f>
        <v>3900</v>
      </c>
      <c r="F7" s="31" t="n">
        <f aca="false">Inputs!$G$10*Inputs!$G$18*1000</f>
        <v>2700</v>
      </c>
      <c r="G7" s="2"/>
    </row>
    <row r="8" customFormat="false" ht="15" hidden="false" customHeight="false" outlineLevel="0" collapsed="false">
      <c r="A8" s="16" t="s">
        <v>359</v>
      </c>
      <c r="B8" s="16" t="s">
        <v>155</v>
      </c>
      <c r="C8" s="31" t="n">
        <f aca="false">Inputs!$D$11*Inputs!$D$19*1000</f>
        <v>232</v>
      </c>
      <c r="D8" s="31" t="n">
        <f aca="false">Inputs!$E$11*Inputs!$E$19*1000</f>
        <v>420</v>
      </c>
      <c r="E8" s="31" t="n">
        <f aca="false">Inputs!$F$11*Inputs!$F$19*1000</f>
        <v>640</v>
      </c>
      <c r="F8" s="31" t="n">
        <f aca="false">Inputs!$G$11*Inputs!$G$19*1000</f>
        <v>420</v>
      </c>
      <c r="G8" s="2"/>
    </row>
    <row r="9" customFormat="false" ht="15" hidden="false" customHeight="false" outlineLevel="0" collapsed="false">
      <c r="A9" s="16" t="s">
        <v>360</v>
      </c>
      <c r="B9" s="16" t="s">
        <v>361</v>
      </c>
      <c r="C9" s="32" t="n">
        <f aca="false">Inputs!$D$6*Inputs!$D$13</f>
        <v>25.2</v>
      </c>
      <c r="D9" s="32" t="n">
        <f aca="false">Inputs!$E$6*Inputs!$E$13</f>
        <v>35.7</v>
      </c>
      <c r="E9" s="32" t="n">
        <f aca="false">Inputs!$F$6*Inputs!$F$13</f>
        <v>42.32</v>
      </c>
      <c r="F9" s="32" t="n">
        <f aca="false">Inputs!$G$6*Inputs!$G$13</f>
        <v>35.7</v>
      </c>
      <c r="G9" s="2" t="s">
        <v>362</v>
      </c>
    </row>
    <row r="10" customFormat="false" ht="15" hidden="false" customHeight="false" outlineLevel="0" collapsed="false">
      <c r="A10" s="16" t="s">
        <v>363</v>
      </c>
      <c r="B10" s="16" t="s">
        <v>361</v>
      </c>
      <c r="C10" s="32" t="n">
        <f aca="false">Inputs!$D$7*Inputs!$D$14</f>
        <v>71.75</v>
      </c>
      <c r="D10" s="32" t="n">
        <f aca="false">Inputs!$E$7*Inputs!$E$14</f>
        <v>110</v>
      </c>
      <c r="E10" s="32" t="n">
        <f aca="false">Inputs!$F$7*Inputs!$F$14</f>
        <v>144</v>
      </c>
      <c r="F10" s="32" t="n">
        <f aca="false">Inputs!$G$7*Inputs!$G$14</f>
        <v>110</v>
      </c>
      <c r="G10" s="2"/>
    </row>
    <row r="11" customFormat="false" ht="15" hidden="false" customHeight="false" outlineLevel="0" collapsed="false">
      <c r="A11" s="16" t="s">
        <v>364</v>
      </c>
      <c r="B11" s="16" t="s">
        <v>361</v>
      </c>
      <c r="C11" s="32" t="n">
        <f aca="false">Inputs!$D$8*Inputs!$D$15</f>
        <v>115.5</v>
      </c>
      <c r="D11" s="32" t="n">
        <f aca="false">Inputs!$E$8*Inputs!$E$15</f>
        <v>237</v>
      </c>
      <c r="E11" s="32" t="n">
        <f aca="false">Inputs!$F$8*Inputs!$F$15</f>
        <v>326</v>
      </c>
      <c r="F11" s="32" t="n">
        <f aca="false">Inputs!$G$8*Inputs!$G$15</f>
        <v>237</v>
      </c>
      <c r="G11" s="2"/>
    </row>
    <row r="12" customFormat="false" ht="15" hidden="false" customHeight="false" outlineLevel="0" collapsed="false">
      <c r="A12" s="16" t="s">
        <v>365</v>
      </c>
      <c r="B12" s="16" t="s">
        <v>159</v>
      </c>
      <c r="C12" s="33" t="n">
        <f aca="false">C9*C6/1000</f>
        <v>145.152</v>
      </c>
      <c r="D12" s="33" t="n">
        <f aca="false">D9*D6/1000</f>
        <v>449.82</v>
      </c>
      <c r="E12" s="33" t="n">
        <f aca="false">E9*E6/1000</f>
        <v>677.12</v>
      </c>
      <c r="F12" s="33" t="n">
        <f aca="false">F9*F6/1000</f>
        <v>449.82</v>
      </c>
      <c r="G12" s="2" t="s">
        <v>366</v>
      </c>
    </row>
    <row r="13" customFormat="false" ht="15" hidden="false" customHeight="false" outlineLevel="0" collapsed="false">
      <c r="A13" s="16" t="s">
        <v>367</v>
      </c>
      <c r="B13" s="16" t="s">
        <v>159</v>
      </c>
      <c r="C13" s="33" t="n">
        <f aca="false">C10*C7/1000</f>
        <v>81.795</v>
      </c>
      <c r="D13" s="33" t="n">
        <f aca="false">D10*D7/1000</f>
        <v>297</v>
      </c>
      <c r="E13" s="33" t="n">
        <f aca="false">E10*E7/1000</f>
        <v>561.6</v>
      </c>
      <c r="F13" s="33" t="n">
        <f aca="false">F10*F7/1000</f>
        <v>297</v>
      </c>
      <c r="G13" s="2"/>
    </row>
    <row r="14" customFormat="false" ht="15" hidden="false" customHeight="false" outlineLevel="0" collapsed="false">
      <c r="A14" s="16" t="s">
        <v>368</v>
      </c>
      <c r="B14" s="16" t="s">
        <v>159</v>
      </c>
      <c r="C14" s="33" t="n">
        <f aca="false">C11*C8/1000</f>
        <v>26.796</v>
      </c>
      <c r="D14" s="33" t="n">
        <f aca="false">D11*D8/1000</f>
        <v>99.54</v>
      </c>
      <c r="E14" s="33" t="n">
        <f aca="false">E11*E8/1000</f>
        <v>208.64</v>
      </c>
      <c r="F14" s="33" t="n">
        <f aca="false">F11*F8/1000</f>
        <v>99.54</v>
      </c>
      <c r="G14" s="2"/>
    </row>
    <row r="15" customFormat="false" ht="15" hidden="false" customHeight="false" outlineLevel="0" collapsed="false">
      <c r="A15" s="16" t="s">
        <v>369</v>
      </c>
      <c r="B15" s="16" t="s">
        <v>159</v>
      </c>
      <c r="C15" s="6" t="n">
        <f aca="false">Inputs!$D$28*Inputs!$D$29*Inputs!$D$30*1000</f>
        <v>98</v>
      </c>
      <c r="D15" s="6" t="n">
        <f aca="false">Inputs!$E$28*Inputs!$E$29*Inputs!$E$30*1000</f>
        <v>300</v>
      </c>
      <c r="E15" s="6" t="n">
        <f aca="false">Inputs!$F$28*Inputs!$F$29*Inputs!$F$30*1000</f>
        <v>544</v>
      </c>
      <c r="F15" s="6" t="n">
        <f aca="false">Inputs!$G$28*Inputs!$G$29*Inputs!$G$30*1000</f>
        <v>300</v>
      </c>
      <c r="G15" s="2" t="s">
        <v>370</v>
      </c>
    </row>
    <row r="16" customFormat="false" ht="15" hidden="false" customHeight="false" outlineLevel="0" collapsed="false">
      <c r="A16" s="7" t="s">
        <v>371</v>
      </c>
      <c r="B16" s="16" t="s">
        <v>159</v>
      </c>
      <c r="C16" s="34" t="n">
        <f aca="false">SUM(C12:C15)</f>
        <v>351.743</v>
      </c>
      <c r="D16" s="34" t="n">
        <f aca="false">SUM(D12:D15)</f>
        <v>1146.36</v>
      </c>
      <c r="E16" s="34" t="n">
        <f aca="false">SUM(E12:E15)</f>
        <v>1991.36</v>
      </c>
      <c r="F16" s="34" t="n">
        <f aca="false">SUM(F12:F15)</f>
        <v>1146.36</v>
      </c>
      <c r="G16" s="2"/>
    </row>
    <row r="18" customFormat="false" ht="15" hidden="false" customHeight="false" outlineLevel="0" collapsed="false">
      <c r="A18" s="10" t="s">
        <v>372</v>
      </c>
      <c r="B18" s="11"/>
      <c r="C18" s="11"/>
      <c r="D18" s="11"/>
      <c r="E18" s="11"/>
      <c r="F18" s="11"/>
      <c r="G18" s="11"/>
    </row>
    <row r="19" customFormat="false" ht="15" hidden="false" customHeight="false" outlineLevel="0" collapsed="false">
      <c r="A19" s="16" t="s">
        <v>373</v>
      </c>
      <c r="B19" s="16" t="s">
        <v>159</v>
      </c>
      <c r="C19" s="6" t="n">
        <f aca="false">C12*Inputs!$D$22</f>
        <v>20.32128</v>
      </c>
      <c r="D19" s="6" t="n">
        <f aca="false">D12*Inputs!$E$22</f>
        <v>78</v>
      </c>
      <c r="E19" s="6" t="n">
        <f aca="false">E12*Inputs!$F$22</f>
        <v>162.5088</v>
      </c>
      <c r="F19" s="6" t="n">
        <f aca="false">F12*Inputs!$G$22</f>
        <v>78</v>
      </c>
      <c r="G19" s="2" t="s">
        <v>374</v>
      </c>
    </row>
    <row r="20" customFormat="false" ht="15" hidden="false" customHeight="false" outlineLevel="0" collapsed="false">
      <c r="A20" s="16" t="s">
        <v>375</v>
      </c>
      <c r="B20" s="16" t="s">
        <v>159</v>
      </c>
      <c r="C20" s="6" t="n">
        <f aca="false">C13*Inputs!$D$24</f>
        <v>16.359</v>
      </c>
      <c r="D20" s="6" t="n">
        <f aca="false">D13*Inputs!$E$24</f>
        <v>68</v>
      </c>
      <c r="E20" s="6" t="n">
        <f aca="false">E13*Inputs!$F$24</f>
        <v>168.48</v>
      </c>
      <c r="F20" s="6" t="n">
        <f aca="false">F13*Inputs!$G$24</f>
        <v>68</v>
      </c>
      <c r="G20" s="2"/>
    </row>
    <row r="21" customFormat="false" ht="15" hidden="false" customHeight="false" outlineLevel="0" collapsed="false">
      <c r="A21" s="16" t="s">
        <v>376</v>
      </c>
      <c r="B21" s="16" t="s">
        <v>159</v>
      </c>
      <c r="C21" s="6" t="n">
        <f aca="false">C14*Inputs!$D$26</f>
        <v>3.75144</v>
      </c>
      <c r="D21" s="6" t="n">
        <f aca="false">D14*Inputs!$E$26</f>
        <v>18</v>
      </c>
      <c r="E21" s="6" t="n">
        <f aca="false">E14*Inputs!$F$26</f>
        <v>52.16</v>
      </c>
      <c r="F21" s="6" t="n">
        <f aca="false">F14*Inputs!$G$26</f>
        <v>18</v>
      </c>
      <c r="G21" s="2"/>
    </row>
    <row r="22" customFormat="false" ht="15" hidden="false" customHeight="false" outlineLevel="0" collapsed="false">
      <c r="A22" s="16" t="s">
        <v>377</v>
      </c>
      <c r="B22" s="16" t="s">
        <v>159</v>
      </c>
      <c r="C22" s="6" t="n">
        <f aca="false">C15*Inputs!$D$32</f>
        <v>11.76</v>
      </c>
      <c r="D22" s="6" t="n">
        <f aca="false">D15*Inputs!$E$32</f>
        <v>47.318594243668</v>
      </c>
      <c r="E22" s="6" t="n">
        <f aca="false">E15*Inputs!$F$32</f>
        <v>130.56</v>
      </c>
      <c r="F22" s="6" t="n">
        <f aca="false">F15*Inputs!$G$32</f>
        <v>47.318594243668</v>
      </c>
      <c r="G22" s="2" t="s">
        <v>378</v>
      </c>
    </row>
    <row r="23" customFormat="false" ht="15" hidden="false" customHeight="false" outlineLevel="0" collapsed="false">
      <c r="A23" s="16" t="s">
        <v>379</v>
      </c>
      <c r="B23" s="16" t="s">
        <v>159</v>
      </c>
      <c r="C23" s="6" t="n">
        <f aca="false">Inputs!$D$34*Inputs!$D$35*Inputs!$D$36*12/1000</f>
        <v>12.15</v>
      </c>
      <c r="D23" s="6" t="n">
        <f aca="false">Inputs!$E$34*Inputs!$E$35*Inputs!$E$36*12/1000</f>
        <v>31.98</v>
      </c>
      <c r="E23" s="6" t="n">
        <f aca="false">Inputs!$F$34*Inputs!$F$35*Inputs!$F$36*12/1000</f>
        <v>64.8</v>
      </c>
      <c r="F23" s="6" t="n">
        <f aca="false">Inputs!$G$34*Inputs!$G$35*Inputs!$G$36*12/1000</f>
        <v>31.98</v>
      </c>
      <c r="G23" s="2" t="s">
        <v>380</v>
      </c>
    </row>
    <row r="24" customFormat="false" ht="15" hidden="false" customHeight="false" outlineLevel="0" collapsed="false">
      <c r="A24" s="16" t="s">
        <v>381</v>
      </c>
      <c r="B24" s="16" t="s">
        <v>159</v>
      </c>
      <c r="C24" s="6" t="n">
        <f aca="false">Inputs!$D$34*(1-Inputs!$D$35)*Inputs!$D$37/1000</f>
        <v>21.4875</v>
      </c>
      <c r="D24" s="6" t="n">
        <f aca="false">Inputs!$E$34*(1-Inputs!$E$35)*Inputs!$E$37/1000</f>
        <v>74.8</v>
      </c>
      <c r="E24" s="6" t="n">
        <f aca="false">Inputs!$F$34*(1-Inputs!$F$35)*Inputs!$F$37/1000</f>
        <v>136.5</v>
      </c>
      <c r="F24" s="6" t="n">
        <f aca="false">Inputs!$G$34*(1-Inputs!$G$35)*Inputs!$G$37/1000</f>
        <v>74.8</v>
      </c>
      <c r="G24" s="2" t="s">
        <v>382</v>
      </c>
    </row>
    <row r="25" customFormat="false" ht="15" hidden="false" customHeight="false" outlineLevel="0" collapsed="false">
      <c r="A25" s="16" t="s">
        <v>383</v>
      </c>
      <c r="B25" s="16" t="s">
        <v>159</v>
      </c>
      <c r="C25" s="6" t="n">
        <f aca="false">Inputs!$D$38*Inputs!$D$39</f>
        <v>2</v>
      </c>
      <c r="D25" s="6" t="n">
        <f aca="false">Inputs!$E$38*Inputs!$E$39</f>
        <v>12</v>
      </c>
      <c r="E25" s="6" t="n">
        <f aca="false">Inputs!$F$38*Inputs!$F$39</f>
        <v>30</v>
      </c>
      <c r="F25" s="6" t="n">
        <f aca="false">Inputs!$G$38*Inputs!$G$39</f>
        <v>12</v>
      </c>
      <c r="G25" s="2" t="s">
        <v>384</v>
      </c>
    </row>
    <row r="26" customFormat="false" ht="15" hidden="false" customHeight="false" outlineLevel="0" collapsed="false">
      <c r="A26" s="16" t="s">
        <v>172</v>
      </c>
      <c r="B26" s="16" t="s">
        <v>159</v>
      </c>
      <c r="C26" s="6" t="n">
        <f aca="false">Inputs!$D$45</f>
        <v>4</v>
      </c>
      <c r="D26" s="6" t="n">
        <f aca="false">Inputs!$E$45</f>
        <v>8</v>
      </c>
      <c r="E26" s="6" t="n">
        <f aca="false">Inputs!$F$45</f>
        <v>20</v>
      </c>
      <c r="F26" s="6" t="n">
        <f aca="false">Inputs!$G$45</f>
        <v>8</v>
      </c>
      <c r="G26" s="2"/>
    </row>
    <row r="27" customFormat="false" ht="15" hidden="false" customHeight="false" outlineLevel="0" collapsed="false">
      <c r="A27" s="7" t="s">
        <v>385</v>
      </c>
      <c r="B27" s="16" t="s">
        <v>159</v>
      </c>
      <c r="C27" s="35" t="n">
        <f aca="false">SUM(C19:C26)</f>
        <v>91.82922</v>
      </c>
      <c r="D27" s="35" t="n">
        <f aca="false">SUM(D19:D26)</f>
        <v>338.098594243668</v>
      </c>
      <c r="E27" s="35" t="n">
        <f aca="false">SUM(E19:E26)</f>
        <v>765.0088</v>
      </c>
      <c r="F27" s="35" t="n">
        <f aca="false">SUM(F19:F26)</f>
        <v>338.098594243668</v>
      </c>
      <c r="G27" s="2" t="s">
        <v>386</v>
      </c>
    </row>
    <row r="28" customFormat="false" ht="15" hidden="false" customHeight="false" outlineLevel="0" collapsed="false">
      <c r="A28" s="16" t="s">
        <v>387</v>
      </c>
      <c r="B28" s="16" t="s">
        <v>159</v>
      </c>
      <c r="C28" s="33" t="n">
        <f aca="false">SUM(C19:C22)</f>
        <v>52.19172</v>
      </c>
      <c r="D28" s="33" t="n">
        <f aca="false">SUM(D19:D22)</f>
        <v>211.318594243668</v>
      </c>
      <c r="E28" s="33" t="n">
        <f aca="false">SUM(E19:E22)</f>
        <v>513.7088</v>
      </c>
      <c r="F28" s="33" t="n">
        <f aca="false">SUM(F19:F22)</f>
        <v>211.318594243668</v>
      </c>
      <c r="G28" s="2"/>
    </row>
    <row r="29" customFormat="false" ht="15" hidden="false" customHeight="false" outlineLevel="0" collapsed="false">
      <c r="A29" s="16" t="s">
        <v>388</v>
      </c>
      <c r="B29" s="16" t="s">
        <v>159</v>
      </c>
      <c r="C29" s="33" t="n">
        <f aca="false">SUM(C23:C25)</f>
        <v>35.6375</v>
      </c>
      <c r="D29" s="33" t="n">
        <f aca="false">SUM(D23:D25)</f>
        <v>118.78</v>
      </c>
      <c r="E29" s="33" t="n">
        <f aca="false">SUM(E23:E25)</f>
        <v>231.3</v>
      </c>
      <c r="F29" s="33" t="n">
        <f aca="false">SUM(F23:F25)</f>
        <v>118.78</v>
      </c>
      <c r="G29" s="2"/>
    </row>
    <row r="30" customFormat="false" ht="15" hidden="false" customHeight="false" outlineLevel="0" collapsed="false">
      <c r="A30" s="16" t="s">
        <v>389</v>
      </c>
      <c r="B30" s="16" t="s">
        <v>88</v>
      </c>
      <c r="C30" s="36" t="n">
        <f aca="false">IF(C27=0,0,C28/C27)</f>
        <v>0.56835634670533</v>
      </c>
      <c r="D30" s="36" t="n">
        <f aca="false">IF(D27=0,0,D28/D27)</f>
        <v>0.625020623692302</v>
      </c>
      <c r="E30" s="36" t="n">
        <f aca="false">IF(E27=0,0,E28/E27)</f>
        <v>0.671507046716325</v>
      </c>
      <c r="F30" s="36" t="n">
        <f aca="false">IF(F27=0,0,F28/F27)</f>
        <v>0.625020623692302</v>
      </c>
      <c r="G30" s="2"/>
    </row>
    <row r="32" customFormat="false" ht="15" hidden="false" customHeight="false" outlineLevel="0" collapsed="false">
      <c r="A32" s="10" t="s">
        <v>390</v>
      </c>
      <c r="B32" s="11"/>
      <c r="C32" s="11"/>
      <c r="D32" s="11"/>
      <c r="E32" s="11"/>
      <c r="F32" s="11"/>
      <c r="G32" s="11"/>
    </row>
    <row r="33" customFormat="false" ht="15" hidden="false" customHeight="false" outlineLevel="0" collapsed="false">
      <c r="A33" s="16" t="s">
        <v>391</v>
      </c>
      <c r="B33" s="16" t="s">
        <v>182</v>
      </c>
      <c r="C33" s="13" t="n">
        <f aca="false">Inputs!$D$48</f>
        <v>14</v>
      </c>
      <c r="D33" s="13" t="n">
        <f aca="false">Inputs!$E$48</f>
        <v>20.2379725666731</v>
      </c>
      <c r="E33" s="13" t="n">
        <f aca="false">Inputs!$F$48</f>
        <v>27.5</v>
      </c>
      <c r="F33" s="13" t="n">
        <f aca="false">Inputs!$G$48</f>
        <v>20.2379725666731</v>
      </c>
      <c r="G33" s="2"/>
    </row>
    <row r="34" customFormat="false" ht="15" hidden="false" customHeight="false" outlineLevel="0" collapsed="false">
      <c r="A34" s="16" t="s">
        <v>392</v>
      </c>
      <c r="B34" s="16" t="s">
        <v>88</v>
      </c>
      <c r="C34" s="14" t="n">
        <f aca="false">Inputs!$D$49</f>
        <v>0.48</v>
      </c>
      <c r="D34" s="14" t="n">
        <f aca="false">Inputs!$E$49</f>
        <v>0.540909090909088</v>
      </c>
      <c r="E34" s="14" t="n">
        <f aca="false">Inputs!$F$49</f>
        <v>0.6</v>
      </c>
      <c r="F34" s="14" t="n">
        <f aca="false">Inputs!$G$49</f>
        <v>0.540909090909088</v>
      </c>
      <c r="G34" s="2"/>
    </row>
    <row r="35" customFormat="false" ht="15" hidden="false" customHeight="false" outlineLevel="0" collapsed="false">
      <c r="A35" s="16" t="s">
        <v>393</v>
      </c>
      <c r="B35" s="16" t="s">
        <v>182</v>
      </c>
      <c r="C35" s="37" t="n">
        <f aca="false">C33*C34</f>
        <v>6.72</v>
      </c>
      <c r="D35" s="37" t="n">
        <f aca="false">D33*D34</f>
        <v>10.9469033428822</v>
      </c>
      <c r="E35" s="37" t="n">
        <f aca="false">E33*E34</f>
        <v>16.5</v>
      </c>
      <c r="F35" s="37" t="n">
        <f aca="false">F33*F34</f>
        <v>10.9469033428822</v>
      </c>
      <c r="G35" s="2" t="s">
        <v>394</v>
      </c>
    </row>
    <row r="36" customFormat="false" ht="15" hidden="false" customHeight="false" outlineLevel="0" collapsed="false">
      <c r="A36" s="16" t="s">
        <v>395</v>
      </c>
      <c r="B36" s="16" t="s">
        <v>396</v>
      </c>
      <c r="C36" s="5" t="n">
        <f aca="false">Inputs!$D$50</f>
        <v>22</v>
      </c>
      <c r="D36" s="5" t="n">
        <f aca="false">Inputs!$E$50</f>
        <v>30.8853183090816</v>
      </c>
      <c r="E36" s="5" t="n">
        <f aca="false">Inputs!$F$50</f>
        <v>40</v>
      </c>
      <c r="F36" s="5" t="n">
        <f aca="false">Inputs!$G$50</f>
        <v>30.8853183090816</v>
      </c>
      <c r="G36" s="2"/>
    </row>
    <row r="37" customFormat="false" ht="15" hidden="false" customHeight="false" outlineLevel="0" collapsed="false">
      <c r="A37" s="16" t="s">
        <v>397</v>
      </c>
      <c r="B37" s="16" t="s">
        <v>396</v>
      </c>
      <c r="C37" s="38" t="n">
        <f aca="false">C36*C34</f>
        <v>10.56</v>
      </c>
      <c r="D37" s="38" t="n">
        <f aca="false">D36*D34</f>
        <v>16.7061494490031</v>
      </c>
      <c r="E37" s="38" t="n">
        <f aca="false">E36*E34</f>
        <v>24</v>
      </c>
      <c r="F37" s="38" t="n">
        <f aca="false">F36*F34</f>
        <v>16.7061494490031</v>
      </c>
      <c r="G37" s="2" t="s">
        <v>398</v>
      </c>
    </row>
    <row r="38" customFormat="false" ht="15" hidden="false" customHeight="false" outlineLevel="0" collapsed="false">
      <c r="A38" s="7" t="s">
        <v>399</v>
      </c>
      <c r="B38" s="16" t="s">
        <v>159</v>
      </c>
      <c r="C38" s="35" t="n">
        <f aca="false">C35*C36</f>
        <v>147.84</v>
      </c>
      <c r="D38" s="35" t="n">
        <f aca="false">D35*D36</f>
        <v>338.098594243666</v>
      </c>
      <c r="E38" s="35" t="n">
        <f aca="false">E35*E36</f>
        <v>660</v>
      </c>
      <c r="F38" s="35" t="n">
        <f aca="false">F35*F36</f>
        <v>338.098594243666</v>
      </c>
      <c r="G38" s="2"/>
    </row>
    <row r="39" customFormat="false" ht="15" hidden="false" customHeight="false" outlineLevel="0" collapsed="false">
      <c r="A39" s="16" t="s">
        <v>400</v>
      </c>
      <c r="B39" s="16" t="s">
        <v>159</v>
      </c>
      <c r="C39" s="38" t="n">
        <f aca="false">C27</f>
        <v>91.82922</v>
      </c>
      <c r="D39" s="38" t="n">
        <f aca="false">D27</f>
        <v>338.098594243668</v>
      </c>
      <c r="E39" s="38" t="n">
        <f aca="false">E27</f>
        <v>765.0088</v>
      </c>
      <c r="F39" s="38" t="n">
        <f aca="false">F27</f>
        <v>338.098594243668</v>
      </c>
      <c r="G39" s="2"/>
    </row>
    <row r="40" customFormat="false" ht="15" hidden="false" customHeight="false" outlineLevel="0" collapsed="false">
      <c r="A40" s="16" t="s">
        <v>401</v>
      </c>
      <c r="B40" s="16" t="s">
        <v>402</v>
      </c>
      <c r="C40" s="39" t="n">
        <f aca="false">IF(C38=0,0,C39/C38)</f>
        <v>0.621139204545455</v>
      </c>
      <c r="D40" s="39" t="n">
        <f aca="false">IF(D38=0,0,D39/D38)</f>
        <v>1.00000000000001</v>
      </c>
      <c r="E40" s="39" t="n">
        <f aca="false">IF(E38=0,0,E39/E38)</f>
        <v>1.15910424242424</v>
      </c>
      <c r="F40" s="39" t="n">
        <f aca="false">IF(F38=0,0,F39/F38)</f>
        <v>1.00000000000001</v>
      </c>
      <c r="G40" s="2" t="s">
        <v>403</v>
      </c>
    </row>
    <row r="41" customFormat="false" ht="15" hidden="false" customHeight="false" outlineLevel="0" collapsed="false">
      <c r="A41" s="16" t="s">
        <v>404</v>
      </c>
      <c r="B41" s="16" t="s">
        <v>396</v>
      </c>
      <c r="C41" s="38" t="n">
        <f aca="false">IF(C35=0,0,C39/C35)</f>
        <v>13.6650625</v>
      </c>
      <c r="D41" s="38" t="n">
        <f aca="false">IF(D35=0,0,D39/D35)</f>
        <v>30.8853183090818</v>
      </c>
      <c r="E41" s="38" t="n">
        <f aca="false">IF(E35=0,0,E39/E35)</f>
        <v>46.3641696969697</v>
      </c>
      <c r="F41" s="38" t="n">
        <f aca="false">IF(F35=0,0,F39/F35)</f>
        <v>30.8853183090818</v>
      </c>
      <c r="G41" s="2"/>
    </row>
    <row r="42" customFormat="false" ht="15" hidden="false" customHeight="false" outlineLevel="0" collapsed="false">
      <c r="A42" s="16" t="s">
        <v>405</v>
      </c>
      <c r="B42" s="16" t="s">
        <v>396</v>
      </c>
      <c r="C42" s="5" t="n">
        <f aca="false">Inputs!$D$51</f>
        <v>13.3</v>
      </c>
      <c r="D42" s="5" t="n">
        <f aca="false">Inputs!$E$51</f>
        <v>11.7004035197334</v>
      </c>
      <c r="E42" s="5" t="n">
        <f aca="false">Inputs!$F$51</f>
        <v>10</v>
      </c>
      <c r="F42" s="5" t="n">
        <f aca="false">Inputs!$G$51</f>
        <v>11.7004035197334</v>
      </c>
      <c r="G42" s="2"/>
    </row>
    <row r="43" customFormat="false" ht="15" hidden="false" customHeight="false" outlineLevel="0" collapsed="false">
      <c r="A43" s="16" t="s">
        <v>406</v>
      </c>
      <c r="B43" s="16" t="s">
        <v>159</v>
      </c>
      <c r="C43" s="5" t="n">
        <f aca="false">C35*C42+Inputs!$D$52*C38</f>
        <v>95.2896</v>
      </c>
      <c r="D43" s="5" t="n">
        <f aca="false">D35*D42+Inputs!$E$52*D38</f>
        <v>138.22614423055</v>
      </c>
      <c r="E43" s="5" t="n">
        <f aca="false">E35*E42+Inputs!$F$52*E38</f>
        <v>181.5</v>
      </c>
      <c r="F43" s="5" t="n">
        <f aca="false">F35*F42+Inputs!$G$52*F38</f>
        <v>138.22614423055</v>
      </c>
      <c r="G43" s="2" t="s">
        <v>407</v>
      </c>
    </row>
    <row r="44" customFormat="false" ht="15" hidden="false" customHeight="false" outlineLevel="0" collapsed="false">
      <c r="A44" s="16" t="s">
        <v>408</v>
      </c>
      <c r="B44" s="16" t="s">
        <v>88</v>
      </c>
      <c r="C44" s="22" t="n">
        <f aca="false">IF(C38=0,0,1-C43/C38)</f>
        <v>0.355454545454545</v>
      </c>
      <c r="D44" s="22" t="n">
        <f aca="false">IF(D38=0,0,1-D43/D38)</f>
        <v>0.591166166958591</v>
      </c>
      <c r="E44" s="22" t="n">
        <f aca="false">IF(E38=0,0,1-E43/E38)</f>
        <v>0.725</v>
      </c>
      <c r="F44" s="22" t="n">
        <f aca="false">IF(F38=0,0,1-F43/F38)</f>
        <v>0.591166166958591</v>
      </c>
      <c r="G44" s="2" t="s">
        <v>409</v>
      </c>
    </row>
    <row r="45" customFormat="false" ht="15" hidden="false" customHeight="false" outlineLevel="0" collapsed="false">
      <c r="A45" s="16" t="s">
        <v>410</v>
      </c>
      <c r="B45" s="16" t="s">
        <v>411</v>
      </c>
      <c r="C45" s="40" t="n">
        <f aca="false">IF(Inputs!$D$60*Inputs!$D$61=0,0,C36/(Inputs!$D$60*Inputs!$D$61))</f>
        <v>2.29166666666667</v>
      </c>
      <c r="D45" s="40" t="n">
        <f aca="false">IF(Inputs!$E$60*Inputs!$E$61=0,0,D36/(Inputs!$E$60*Inputs!$E$61))</f>
        <v>2.27097928743247</v>
      </c>
      <c r="E45" s="40" t="n">
        <f aca="false">IF(Inputs!$F$60*Inputs!$F$61=0,0,E36/(Inputs!$F$60*Inputs!$F$61))</f>
        <v>1.6025641025641</v>
      </c>
      <c r="F45" s="40" t="n">
        <f aca="false">IF(Inputs!$G$60*Inputs!$G$61=0,0,F36/(Inputs!$G$60*Inputs!$G$61))</f>
        <v>2.27097928743247</v>
      </c>
      <c r="G45" s="2" t="s">
        <v>412</v>
      </c>
    </row>
    <row r="47" customFormat="false" ht="15" hidden="false" customHeight="false" outlineLevel="0" collapsed="false">
      <c r="A47" s="10" t="s">
        <v>413</v>
      </c>
      <c r="B47" s="11"/>
      <c r="C47" s="11"/>
      <c r="D47" s="11"/>
      <c r="E47" s="11"/>
      <c r="F47" s="11"/>
      <c r="G47" s="11"/>
    </row>
    <row r="48" customFormat="false" ht="15" hidden="false" customHeight="false" outlineLevel="0" collapsed="false">
      <c r="A48" s="16" t="s">
        <v>414</v>
      </c>
      <c r="B48" s="16" t="s">
        <v>159</v>
      </c>
      <c r="C48" s="5" t="n">
        <f aca="false">Inputs!$D$67</f>
        <v>50</v>
      </c>
      <c r="D48" s="5" t="n">
        <f aca="false">Inputs!$E$67</f>
        <v>60</v>
      </c>
      <c r="E48" s="5" t="n">
        <f aca="false">Inputs!$F$67</f>
        <v>65</v>
      </c>
      <c r="F48" s="5" t="n">
        <f aca="false">Inputs!$G$67</f>
        <v>60</v>
      </c>
      <c r="G48" s="2"/>
    </row>
    <row r="49" customFormat="false" ht="15" hidden="false" customHeight="false" outlineLevel="0" collapsed="false">
      <c r="A49" s="16" t="s">
        <v>415</v>
      </c>
      <c r="B49" s="16" t="s">
        <v>159</v>
      </c>
      <c r="C49" s="5" t="n">
        <f aca="false">C48*(1+Inputs!$D$69)</f>
        <v>72.5</v>
      </c>
      <c r="D49" s="5" t="n">
        <f aca="false">D48*(1+Inputs!$E$69)</f>
        <v>136.445568607796</v>
      </c>
      <c r="E49" s="5" t="n">
        <f aca="false">E48*(1+Inputs!$F$69)</f>
        <v>156</v>
      </c>
      <c r="F49" s="5" t="n">
        <f aca="false">F48*(1+Inputs!$G$69)</f>
        <v>136.445568607796</v>
      </c>
      <c r="G49" s="2" t="s">
        <v>416</v>
      </c>
    </row>
    <row r="50" customFormat="false" ht="15" hidden="false" customHeight="false" outlineLevel="0" collapsed="false">
      <c r="A50" s="16" t="s">
        <v>417</v>
      </c>
      <c r="B50" s="16" t="s">
        <v>159</v>
      </c>
      <c r="C50" s="38" t="n">
        <f aca="false">(C48+C49)/2</f>
        <v>61.25</v>
      </c>
      <c r="D50" s="38" t="n">
        <f aca="false">(D48+D49)/2</f>
        <v>98.222784303898</v>
      </c>
      <c r="E50" s="38" t="n">
        <f aca="false">(E48+E49)/2</f>
        <v>110.5</v>
      </c>
      <c r="F50" s="38" t="n">
        <f aca="false">(F48+F49)/2</f>
        <v>98.222784303898</v>
      </c>
      <c r="G50" s="2" t="s">
        <v>418</v>
      </c>
    </row>
    <row r="51" customFormat="false" ht="15" hidden="false" customHeight="false" outlineLevel="0" collapsed="false">
      <c r="A51" s="16" t="s">
        <v>419</v>
      </c>
      <c r="B51" s="16" t="s">
        <v>159</v>
      </c>
      <c r="C51" s="5" t="n">
        <f aca="false">C49*(1+Inputs!$D$70)</f>
        <v>94.25</v>
      </c>
      <c r="D51" s="5" t="n">
        <f aca="false">D49*(1+Inputs!$E$70)</f>
        <v>226.222819977929</v>
      </c>
      <c r="E51" s="5" t="n">
        <f aca="false">E49*(1+Inputs!$F$70)</f>
        <v>273</v>
      </c>
      <c r="F51" s="5" t="n">
        <f aca="false">F49*(1+Inputs!$G$70)</f>
        <v>226.222819977929</v>
      </c>
      <c r="G51" s="2" t="s">
        <v>420</v>
      </c>
    </row>
    <row r="52" customFormat="false" ht="15" hidden="false" customHeight="false" outlineLevel="0" collapsed="false">
      <c r="A52" s="16" t="s">
        <v>421</v>
      </c>
      <c r="B52" s="16" t="s">
        <v>159</v>
      </c>
      <c r="C52" s="38" t="n">
        <f aca="false">(C49+C51)/2</f>
        <v>83.375</v>
      </c>
      <c r="D52" s="38" t="n">
        <f aca="false">(D49+D51)/2</f>
        <v>181.334194292862</v>
      </c>
      <c r="E52" s="38" t="n">
        <f aca="false">(E49+E51)/2</f>
        <v>214.5</v>
      </c>
      <c r="F52" s="38" t="n">
        <f aca="false">(F49+F51)/2</f>
        <v>181.334194292862</v>
      </c>
      <c r="G52" s="2" t="s">
        <v>418</v>
      </c>
    </row>
    <row r="53" customFormat="false" ht="15" hidden="false" customHeight="false" outlineLevel="0" collapsed="false">
      <c r="A53" s="16" t="s">
        <v>422</v>
      </c>
      <c r="B53" s="16" t="s">
        <v>159</v>
      </c>
      <c r="C53" s="5" t="n">
        <f aca="false">C51*(1+Inputs!$D$71)</f>
        <v>113.1</v>
      </c>
      <c r="D53" s="5" t="n">
        <f aca="false">D51*(1+Inputs!$E$71)</f>
        <v>303.656802631835</v>
      </c>
      <c r="E53" s="5" t="n">
        <f aca="false">E51*(1+Inputs!$F$71)</f>
        <v>395.85</v>
      </c>
      <c r="F53" s="5" t="n">
        <f aca="false">F51*(1+Inputs!$G$71)</f>
        <v>303.656802631835</v>
      </c>
      <c r="G53" s="2" t="s">
        <v>423</v>
      </c>
    </row>
    <row r="54" customFormat="false" ht="15" hidden="false" customHeight="false" outlineLevel="0" collapsed="false">
      <c r="A54" s="16" t="s">
        <v>424</v>
      </c>
      <c r="B54" s="16" t="s">
        <v>159</v>
      </c>
      <c r="C54" s="38" t="n">
        <f aca="false">(C51+C53)/2</f>
        <v>103.675</v>
      </c>
      <c r="D54" s="38" t="n">
        <f aca="false">(D51+D53)/2</f>
        <v>264.939811304882</v>
      </c>
      <c r="E54" s="38" t="n">
        <f aca="false">(E51+E53)/2</f>
        <v>334.425</v>
      </c>
      <c r="F54" s="38" t="n">
        <f aca="false">(F51+F53)/2</f>
        <v>264.939811304882</v>
      </c>
      <c r="G54" s="2" t="s">
        <v>418</v>
      </c>
    </row>
    <row r="55" customFormat="false" ht="15" hidden="false" customHeight="false" outlineLevel="0" collapsed="false">
      <c r="A55" s="16" t="s">
        <v>425</v>
      </c>
      <c r="B55" s="16" t="s">
        <v>159</v>
      </c>
      <c r="C55" s="5" t="n">
        <f aca="false">C53*(1+Inputs!$D$72)</f>
        <v>126.672</v>
      </c>
      <c r="D55" s="5" t="n">
        <f aca="false">D53*(1+Inputs!$E$72)</f>
        <v>372.5403858555</v>
      </c>
      <c r="E55" s="5" t="n">
        <f aca="false">E53*(1+Inputs!$F$72)</f>
        <v>514.605</v>
      </c>
      <c r="F55" s="5" t="n">
        <f aca="false">F53*(1+Inputs!$G$72)</f>
        <v>372.5403858555</v>
      </c>
      <c r="G55" s="2" t="s">
        <v>426</v>
      </c>
    </row>
    <row r="56" customFormat="false" ht="15" hidden="false" customHeight="false" outlineLevel="0" collapsed="false">
      <c r="A56" s="16" t="s">
        <v>427</v>
      </c>
      <c r="B56" s="16" t="s">
        <v>159</v>
      </c>
      <c r="C56" s="38" t="n">
        <f aca="false">(C53+C55)/2</f>
        <v>119.886</v>
      </c>
      <c r="D56" s="38" t="n">
        <f aca="false">(D53+D55)/2</f>
        <v>338.098594243667</v>
      </c>
      <c r="E56" s="38" t="n">
        <f aca="false">(E53+E55)/2</f>
        <v>455.2275</v>
      </c>
      <c r="F56" s="38" t="n">
        <f aca="false">(F53+F55)/2</f>
        <v>338.098594243667</v>
      </c>
      <c r="G56" s="2" t="s">
        <v>418</v>
      </c>
    </row>
    <row r="57" customFormat="false" ht="15" hidden="false" customHeight="false" outlineLevel="0" collapsed="false">
      <c r="A57" s="16" t="s">
        <v>428</v>
      </c>
      <c r="B57" s="16" t="s">
        <v>402</v>
      </c>
      <c r="C57" s="39" t="n">
        <f aca="false">IF(C56=0,0,C27/C56)</f>
        <v>0.765971172613983</v>
      </c>
      <c r="D57" s="39" t="n">
        <f aca="false">IF(D56=0,0,D27/D56)</f>
        <v>1</v>
      </c>
      <c r="E57" s="39" t="n">
        <f aca="false">IF(E56=0,0,E27/E56)</f>
        <v>1.68049777309148</v>
      </c>
      <c r="F57" s="39" t="n">
        <f aca="false">IF(F56=0,0,F27/F56)</f>
        <v>1</v>
      </c>
      <c r="G57" s="2" t="s">
        <v>403</v>
      </c>
    </row>
    <row r="59" customFormat="false" ht="15" hidden="false" customHeight="false" outlineLevel="0" collapsed="false">
      <c r="A59" s="10" t="s">
        <v>429</v>
      </c>
      <c r="B59" s="11"/>
      <c r="C59" s="11"/>
      <c r="D59" s="11"/>
      <c r="E59" s="11"/>
      <c r="F59" s="11"/>
      <c r="G59" s="11"/>
    </row>
    <row r="60" customFormat="false" ht="15" hidden="false" customHeight="false" outlineLevel="0" collapsed="false">
      <c r="A60" s="7" t="s">
        <v>430</v>
      </c>
      <c r="B60" s="7" t="s">
        <v>431</v>
      </c>
      <c r="C60" s="7" t="s">
        <v>432</v>
      </c>
      <c r="D60" s="7" t="s">
        <v>433</v>
      </c>
      <c r="E60" s="7" t="s">
        <v>434</v>
      </c>
      <c r="F60" s="7" t="s">
        <v>435</v>
      </c>
      <c r="G60" s="7" t="s">
        <v>436</v>
      </c>
    </row>
    <row r="61" customFormat="false" ht="15" hidden="false" customHeight="false" outlineLevel="0" collapsed="false">
      <c r="A61" s="4" t="s">
        <v>373</v>
      </c>
      <c r="B61" s="41" t="n">
        <v>3.5</v>
      </c>
      <c r="C61" s="42" t="n">
        <f aca="false">IF($B61=0,"n/a",C19/$B61)</f>
        <v>5.80608</v>
      </c>
      <c r="D61" s="42" t="n">
        <f aca="false">IF($B61=0,"n/a",D19/$B61)</f>
        <v>22.2857142857143</v>
      </c>
      <c r="E61" s="42" t="n">
        <f aca="false">IF($B61=0,"n/a",E19/$B61)</f>
        <v>46.4310857142857</v>
      </c>
      <c r="F61" s="42" t="n">
        <f aca="false">IF($B61=0,"n/a",F19/$B61)</f>
        <v>22.2857142857143</v>
      </c>
      <c r="G61" s="43" t="n">
        <f aca="false">IF($B61=0,"n/a",(D19/$B61)^(1/4)-1)</f>
        <v>1.1727343958286</v>
      </c>
    </row>
    <row r="62" customFormat="false" ht="15" hidden="false" customHeight="false" outlineLevel="0" collapsed="false">
      <c r="A62" s="4" t="s">
        <v>375</v>
      </c>
      <c r="B62" s="41" t="n">
        <v>7.5</v>
      </c>
      <c r="C62" s="42" t="n">
        <f aca="false">IF($B62=0,"n/a",C20/$B62)</f>
        <v>2.1812</v>
      </c>
      <c r="D62" s="42" t="n">
        <f aca="false">IF($B62=0,"n/a",D20/$B62)</f>
        <v>9.06666666666667</v>
      </c>
      <c r="E62" s="42" t="n">
        <f aca="false">IF($B62=0,"n/a",E20/$B62)</f>
        <v>22.464</v>
      </c>
      <c r="F62" s="42" t="n">
        <f aca="false">IF($B62=0,"n/a",F20/$B62)</f>
        <v>9.06666666666667</v>
      </c>
      <c r="G62" s="43" t="n">
        <f aca="false">IF($B62=0,"n/a",(D20/$B62)^(1/4)-1)</f>
        <v>0.735249437641841</v>
      </c>
    </row>
    <row r="63" customFormat="false" ht="15" hidden="false" customHeight="false" outlineLevel="0" collapsed="false">
      <c r="A63" s="4" t="s">
        <v>376</v>
      </c>
      <c r="B63" s="41" t="n">
        <v>1.8</v>
      </c>
      <c r="C63" s="42" t="n">
        <f aca="false">IF($B63=0,"n/a",C21/$B63)</f>
        <v>2.08413333333333</v>
      </c>
      <c r="D63" s="42" t="n">
        <f aca="false">IF($B63=0,"n/a",D21/$B63)</f>
        <v>10</v>
      </c>
      <c r="E63" s="42" t="n">
        <f aca="false">IF($B63=0,"n/a",E21/$B63)</f>
        <v>28.9777777777778</v>
      </c>
      <c r="F63" s="42" t="n">
        <f aca="false">IF($B63=0,"n/a",F21/$B63)</f>
        <v>10</v>
      </c>
      <c r="G63" s="43" t="n">
        <f aca="false">IF($B63=0,"n/a",(D21/$B63)^(1/4)-1)</f>
        <v>0.778279410038923</v>
      </c>
    </row>
    <row r="64" customFormat="false" ht="15" hidden="false" customHeight="false" outlineLevel="0" collapsed="false">
      <c r="A64" s="4" t="s">
        <v>377</v>
      </c>
      <c r="B64" s="41" t="n">
        <v>5.5</v>
      </c>
      <c r="C64" s="42" t="n">
        <f aca="false">IF($B64=0,"n/a",C22/$B64)</f>
        <v>2.13818181818182</v>
      </c>
      <c r="D64" s="42" t="n">
        <f aca="false">IF($B64=0,"n/a",D22/$B64)</f>
        <v>8.60338077157601</v>
      </c>
      <c r="E64" s="42" t="n">
        <f aca="false">IF($B64=0,"n/a",E22/$B64)</f>
        <v>23.7381818181818</v>
      </c>
      <c r="F64" s="42" t="n">
        <f aca="false">IF($B64=0,"n/a",F22/$B64)</f>
        <v>8.603380771576</v>
      </c>
      <c r="G64" s="43" t="n">
        <f aca="false">IF($B64=0,"n/a",(D22/$B64)^(1/4)-1)</f>
        <v>0.712644744205409</v>
      </c>
    </row>
    <row r="65" customFormat="false" ht="15" hidden="false" customHeight="false" outlineLevel="0" collapsed="false">
      <c r="A65" s="4" t="s">
        <v>379</v>
      </c>
      <c r="B65" s="41" t="n">
        <v>15.5</v>
      </c>
      <c r="C65" s="42" t="n">
        <f aca="false">IF($B65=0,"n/a",C23/$B65)</f>
        <v>0.783870967741936</v>
      </c>
      <c r="D65" s="42" t="n">
        <f aca="false">IF($B65=0,"n/a",D23/$B65)</f>
        <v>2.06322580645161</v>
      </c>
      <c r="E65" s="42" t="n">
        <f aca="false">IF($B65=0,"n/a",E23/$B65)</f>
        <v>4.18064516129032</v>
      </c>
      <c r="F65" s="42" t="n">
        <f aca="false">IF($B65=0,"n/a",F23/$B65)</f>
        <v>2.06322580645161</v>
      </c>
      <c r="G65" s="43" t="n">
        <f aca="false">IF($B65=0,"n/a",(D23/$B65)^(1/4)-1)</f>
        <v>0.198496279835227</v>
      </c>
    </row>
    <row r="66" customFormat="false" ht="15" hidden="false" customHeight="false" outlineLevel="0" collapsed="false">
      <c r="A66" s="4" t="s">
        <v>381</v>
      </c>
      <c r="B66" s="41" t="n">
        <v>1</v>
      </c>
      <c r="C66" s="42" t="n">
        <f aca="false">IF($B66=0,"n/a",C24/$B66)</f>
        <v>21.4875</v>
      </c>
      <c r="D66" s="42" t="n">
        <f aca="false">IF($B66=0,"n/a",D24/$B66)</f>
        <v>74.8</v>
      </c>
      <c r="E66" s="42" t="n">
        <f aca="false">IF($B66=0,"n/a",E24/$B66)</f>
        <v>136.5</v>
      </c>
      <c r="F66" s="42" t="n">
        <f aca="false">IF($B66=0,"n/a",F24/$B66)</f>
        <v>74.8</v>
      </c>
      <c r="G66" s="43" t="n">
        <f aca="false">IF($B66=0,"n/a",(D24/$B66)^(1/4)-1)</f>
        <v>1.94086710413372</v>
      </c>
    </row>
    <row r="67" customFormat="false" ht="15" hidden="false" customHeight="false" outlineLevel="0" collapsed="false">
      <c r="A67" s="4" t="s">
        <v>383</v>
      </c>
      <c r="B67" s="41" t="n">
        <v>0.4</v>
      </c>
      <c r="C67" s="42" t="n">
        <f aca="false">IF($B67=0,"n/a",C25/$B67)</f>
        <v>5</v>
      </c>
      <c r="D67" s="42" t="n">
        <f aca="false">IF($B67=0,"n/a",D25/$B67)</f>
        <v>30</v>
      </c>
      <c r="E67" s="42" t="n">
        <f aca="false">IF($B67=0,"n/a",E25/$B67)</f>
        <v>75</v>
      </c>
      <c r="F67" s="42" t="n">
        <f aca="false">IF($B67=0,"n/a",F25/$B67)</f>
        <v>30</v>
      </c>
      <c r="G67" s="43" t="n">
        <f aca="false">IF($B67=0,"n/a",(D25/$B67)^(1/4)-1)</f>
        <v>1.34034731932072</v>
      </c>
    </row>
    <row r="68" customFormat="false" ht="15" hidden="false" customHeight="false" outlineLevel="0" collapsed="false">
      <c r="A68" s="4" t="s">
        <v>172</v>
      </c>
      <c r="B68" s="41" t="n">
        <v>1.3</v>
      </c>
      <c r="C68" s="42" t="n">
        <f aca="false">IF($B68=0,"n/a",C26/$B68)</f>
        <v>3.07692307692308</v>
      </c>
      <c r="D68" s="42" t="n">
        <f aca="false">IF($B68=0,"n/a",D26/$B68)</f>
        <v>6.15384615384615</v>
      </c>
      <c r="E68" s="42" t="n">
        <f aca="false">IF($B68=0,"n/a",E26/$B68)</f>
        <v>15.3846153846154</v>
      </c>
      <c r="F68" s="42" t="n">
        <f aca="false">IF($B68=0,"n/a",F26/$B68)</f>
        <v>6.15384615384615</v>
      </c>
      <c r="G68" s="43" t="n">
        <f aca="false">IF($B68=0,"n/a",(D26/$B68)^(1/4)-1)</f>
        <v>0.575022124220536</v>
      </c>
    </row>
    <row r="69" customFormat="false" ht="15" hidden="false" customHeight="false" outlineLevel="0" collapsed="false">
      <c r="A69" s="7" t="s">
        <v>437</v>
      </c>
      <c r="B69" s="44" t="n">
        <f aca="false">SUM(B61:B68)</f>
        <v>36.5</v>
      </c>
      <c r="C69" s="42" t="n">
        <f aca="false">C27/$B69</f>
        <v>2.51586904109589</v>
      </c>
      <c r="D69" s="42" t="n">
        <f aca="false">D27/$B69</f>
        <v>9.26297518475803</v>
      </c>
      <c r="E69" s="42" t="n">
        <f aca="false">E27/$B69</f>
        <v>20.9591452054795</v>
      </c>
      <c r="F69" s="42" t="n">
        <f aca="false">F27/$B69</f>
        <v>9.26297518475803</v>
      </c>
      <c r="G69" s="43" t="n">
        <f aca="false">(D27/$B69)^(1/4)-1</f>
        <v>0.744566887473262</v>
      </c>
      <c r="H69" s="2" t="s">
        <v>438</v>
      </c>
    </row>
    <row r="71" customFormat="false" ht="15" hidden="false" customHeight="false" outlineLevel="0" collapsed="false">
      <c r="A71" s="10" t="s">
        <v>439</v>
      </c>
      <c r="B71" s="11"/>
      <c r="C71" s="11"/>
      <c r="D71" s="11"/>
      <c r="E71" s="11"/>
      <c r="F71" s="11"/>
      <c r="G71" s="11"/>
    </row>
    <row r="72" customFormat="false" ht="15" hidden="false" customHeight="false" outlineLevel="0" collapsed="false">
      <c r="A72" s="7" t="s">
        <v>440</v>
      </c>
      <c r="B72" s="4" t="s">
        <v>441</v>
      </c>
      <c r="C72" s="45" t="n">
        <v>280</v>
      </c>
      <c r="D72" s="45" t="n">
        <v>394</v>
      </c>
      <c r="G72" s="2" t="s">
        <v>442</v>
      </c>
    </row>
    <row r="73" customFormat="false" ht="15" hidden="false" customHeight="false" outlineLevel="0" collapsed="false">
      <c r="A73" s="4" t="s">
        <v>443</v>
      </c>
      <c r="C73" s="46" t="n">
        <f aca="false">IF($D$27=0,0,C$72/$D$27)</f>
        <v>0.828160793233597</v>
      </c>
      <c r="D73" s="46" t="n">
        <f aca="false">IF($D$27=0,0,D$72/$D$27)</f>
        <v>1.16534054476442</v>
      </c>
      <c r="G73" s="2"/>
    </row>
    <row r="74" customFormat="false" ht="15" hidden="false" customHeight="false" outlineLevel="0" collapsed="false">
      <c r="A74" s="4" t="s">
        <v>444</v>
      </c>
      <c r="C74" s="44" t="n">
        <f aca="false">IF($D$35=0,0,C$72/$D$35)</f>
        <v>25.5780097101213</v>
      </c>
      <c r="D74" s="44" t="n">
        <f aca="false">IF($D$35=0,0,D$72/$D$35)</f>
        <v>35.9919136635278</v>
      </c>
      <c r="G74" s="2" t="s">
        <v>445</v>
      </c>
    </row>
    <row r="75" customFormat="false" ht="15" hidden="false" customHeight="false" outlineLevel="0" collapsed="false">
      <c r="A75" s="4" t="s">
        <v>446</v>
      </c>
      <c r="C75" s="47" t="n">
        <f aca="false">IF($D$36*$D$34=0,0,C$72/($D$36*$D$34))</f>
        <v>16.7602954142559</v>
      </c>
      <c r="D75" s="47" t="n">
        <f aca="false">IF($D$36*$D$34=0,0,D$72/($D$36*$D$34))</f>
        <v>23.5841299757743</v>
      </c>
      <c r="G75" s="2"/>
    </row>
    <row r="76" customFormat="false" ht="15" hidden="false" customHeight="false" outlineLevel="0" collapsed="false">
      <c r="A76" s="4" t="s">
        <v>447</v>
      </c>
      <c r="C76" s="47" t="n">
        <f aca="false">C$72/(Inputs!$E$65*Inputs!$E$64)</f>
        <v>17.7777777777778</v>
      </c>
      <c r="D76" s="47" t="n">
        <f aca="false">D$72/(Inputs!$E$65*Inputs!$E$64)</f>
        <v>25.015873015873</v>
      </c>
      <c r="G76" s="2" t="s">
        <v>448</v>
      </c>
    </row>
    <row r="77" customFormat="false" ht="15" hidden="false" customHeight="false" outlineLevel="0" collapsed="false">
      <c r="A77" s="4" t="s">
        <v>449</v>
      </c>
      <c r="C77" s="46" t="n">
        <f aca="false">(C$72-($D$27-$D$28))/$D$28</f>
        <v>0.72506634140924</v>
      </c>
      <c r="D77" s="46" t="n">
        <f aca="false">(D$72-($D$27-$D$28))/$D$28</f>
        <v>1.26453614248386</v>
      </c>
      <c r="G77" s="2" t="s">
        <v>450</v>
      </c>
    </row>
    <row r="78" customFormat="false" ht="15" hidden="false" customHeight="false" outlineLevel="0" collapsed="false">
      <c r="A78" s="4" t="s">
        <v>451</v>
      </c>
      <c r="C78" s="43" t="n">
        <f aca="false">Inputs!$E$17*(1+(C77-1)*$D$28/$D$19)</f>
        <v>0.0428645662444072</v>
      </c>
      <c r="D78" s="43" t="n">
        <f aca="false">Inputs!$E$17*(1+(D77-1)*$D$28/$D$19)</f>
        <v>0.288403027782869</v>
      </c>
      <c r="G78" s="2" t="s">
        <v>452</v>
      </c>
    </row>
    <row r="79" customFormat="false" ht="15" hidden="false" customHeight="false" outlineLevel="0" collapsed="false">
      <c r="A79" s="4" t="s">
        <v>453</v>
      </c>
      <c r="C79" s="43" t="n">
        <f aca="false">Inputs!$E$29*(1+(C77-1)*$D$28/$D$22)</f>
        <v>-0.0284771773451474</v>
      </c>
      <c r="D79" s="43" t="n">
        <f aca="false">Inputs!$E$29*(1+(D77-1)*$D$28/$D$22)</f>
        <v>0.272672935581271</v>
      </c>
      <c r="G79" s="2"/>
    </row>
    <row r="80" customFormat="false" ht="15" hidden="false" customHeight="false" outlineLevel="0" collapsed="false">
      <c r="A80" s="4" t="s">
        <v>454</v>
      </c>
      <c r="C80" s="43" t="n">
        <f aca="false">C$72/$D$16</f>
        <v>0.244251369552322</v>
      </c>
      <c r="D80" s="43" t="n">
        <f aca="false">D$72/$D$16</f>
        <v>0.343696570012911</v>
      </c>
      <c r="G80" s="2"/>
    </row>
    <row r="81" customFormat="false" ht="15" hidden="false" customHeight="false" outlineLevel="0" collapsed="false">
      <c r="A81" s="4" t="s">
        <v>455</v>
      </c>
      <c r="B81" s="48" t="n">
        <v>65000</v>
      </c>
      <c r="C81" s="49" t="n">
        <f aca="false">C$72/$B81</f>
        <v>0.00430769230769231</v>
      </c>
      <c r="D81" s="49" t="n">
        <f aca="false">D$72/$B81</f>
        <v>0.00606153846153846</v>
      </c>
      <c r="G81" s="2" t="s">
        <v>456</v>
      </c>
    </row>
    <row r="82" customFormat="false" ht="15" hidden="false" customHeight="false" outlineLevel="0" collapsed="false">
      <c r="A82" s="4" t="s">
        <v>457</v>
      </c>
      <c r="B82" s="48" t="n">
        <v>2400</v>
      </c>
      <c r="C82" s="43" t="n">
        <f aca="false">C$72/$B82</f>
        <v>0.116666666666667</v>
      </c>
      <c r="D82" s="43" t="n">
        <f aca="false">D$72/$B82</f>
        <v>0.164166666666667</v>
      </c>
      <c r="G82" s="2" t="s">
        <v>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70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353</v>
      </c>
    </row>
    <row r="4" customFormat="false" ht="15" hidden="false" customHeight="false" outlineLevel="0" collapsed="false">
      <c r="A4" s="3" t="s">
        <v>20</v>
      </c>
      <c r="B4" s="3" t="s">
        <v>61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354</v>
      </c>
    </row>
    <row r="5" customFormat="false" ht="15" hidden="false" customHeight="false" outlineLevel="0" collapsed="false">
      <c r="A5" s="10" t="s">
        <v>355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6" t="s">
        <v>356</v>
      </c>
      <c r="B6" s="16" t="s">
        <v>155</v>
      </c>
      <c r="C6" s="31" t="n">
        <f aca="false">Inputs!$D$9*Inputs!$D$17*1000</f>
        <v>5760</v>
      </c>
      <c r="D6" s="31" t="n">
        <f aca="false">Inputs!$E$9*Inputs!$E$17*1000</f>
        <v>12600</v>
      </c>
      <c r="E6" s="31" t="n">
        <f aca="false">Inputs!$F$9*Inputs!$F$17*1000</f>
        <v>16000</v>
      </c>
      <c r="F6" s="31" t="n">
        <f aca="false">Inputs!$G$9*Inputs!$G$17*1000</f>
        <v>12600</v>
      </c>
      <c r="G6" s="2" t="s">
        <v>357</v>
      </c>
    </row>
    <row r="7" customFormat="false" ht="15" hidden="false" customHeight="false" outlineLevel="0" collapsed="false">
      <c r="A7" s="16" t="s">
        <v>358</v>
      </c>
      <c r="B7" s="16" t="s">
        <v>155</v>
      </c>
      <c r="C7" s="31" t="n">
        <f aca="false">Inputs!$D$10*Inputs!$D$18*1000</f>
        <v>1140</v>
      </c>
      <c r="D7" s="31" t="n">
        <f aca="false">Inputs!$E$10*Inputs!$E$18*1000</f>
        <v>2700</v>
      </c>
      <c r="E7" s="31" t="n">
        <f aca="false">Inputs!$F$10*Inputs!$F$18*1000</f>
        <v>3900</v>
      </c>
      <c r="F7" s="31" t="n">
        <f aca="false">Inputs!$G$10*Inputs!$G$18*1000</f>
        <v>2700</v>
      </c>
      <c r="G7" s="2"/>
    </row>
    <row r="8" customFormat="false" ht="15" hidden="false" customHeight="false" outlineLevel="0" collapsed="false">
      <c r="A8" s="16" t="s">
        <v>359</v>
      </c>
      <c r="B8" s="16" t="s">
        <v>155</v>
      </c>
      <c r="C8" s="31" t="n">
        <f aca="false">Inputs!$D$11*Inputs!$D$19*1000</f>
        <v>232</v>
      </c>
      <c r="D8" s="31" t="n">
        <f aca="false">Inputs!$E$11*Inputs!$E$19*1000</f>
        <v>420</v>
      </c>
      <c r="E8" s="31" t="n">
        <f aca="false">Inputs!$F$11*Inputs!$F$19*1000</f>
        <v>640</v>
      </c>
      <c r="F8" s="31" t="n">
        <f aca="false">Inputs!$G$11*Inputs!$G$19*1000</f>
        <v>420</v>
      </c>
      <c r="G8" s="2"/>
    </row>
    <row r="9" customFormat="false" ht="15" hidden="false" customHeight="false" outlineLevel="0" collapsed="false">
      <c r="A9" s="16" t="s">
        <v>360</v>
      </c>
      <c r="B9" s="16" t="s">
        <v>361</v>
      </c>
      <c r="C9" s="32" t="n">
        <f aca="false">Inputs!$D$6*Inputs!$D$13</f>
        <v>25.2</v>
      </c>
      <c r="D9" s="32" t="n">
        <f aca="false">Inputs!$E$6*Inputs!$E$13</f>
        <v>35.7</v>
      </c>
      <c r="E9" s="32" t="n">
        <f aca="false">Inputs!$F$6*Inputs!$F$13</f>
        <v>42.32</v>
      </c>
      <c r="F9" s="32" t="n">
        <f aca="false">Inputs!$G$6*Inputs!$G$13</f>
        <v>35.7</v>
      </c>
      <c r="G9" s="2" t="s">
        <v>362</v>
      </c>
    </row>
    <row r="10" customFormat="false" ht="15" hidden="false" customHeight="false" outlineLevel="0" collapsed="false">
      <c r="A10" s="16" t="s">
        <v>363</v>
      </c>
      <c r="B10" s="16" t="s">
        <v>361</v>
      </c>
      <c r="C10" s="32" t="n">
        <f aca="false">Inputs!$D$7*Inputs!$D$14</f>
        <v>71.75</v>
      </c>
      <c r="D10" s="32" t="n">
        <f aca="false">Inputs!$E$7*Inputs!$E$14</f>
        <v>110</v>
      </c>
      <c r="E10" s="32" t="n">
        <f aca="false">Inputs!$F$7*Inputs!$F$14</f>
        <v>144</v>
      </c>
      <c r="F10" s="32" t="n">
        <f aca="false">Inputs!$G$7*Inputs!$G$14</f>
        <v>110</v>
      </c>
      <c r="G10" s="2"/>
    </row>
    <row r="11" customFormat="false" ht="15" hidden="false" customHeight="false" outlineLevel="0" collapsed="false">
      <c r="A11" s="16" t="s">
        <v>364</v>
      </c>
      <c r="B11" s="16" t="s">
        <v>361</v>
      </c>
      <c r="C11" s="32" t="n">
        <f aca="false">Inputs!$D$8*Inputs!$D$15</f>
        <v>115.5</v>
      </c>
      <c r="D11" s="32" t="n">
        <f aca="false">Inputs!$E$8*Inputs!$E$15</f>
        <v>237</v>
      </c>
      <c r="E11" s="32" t="n">
        <f aca="false">Inputs!$F$8*Inputs!$F$15</f>
        <v>326</v>
      </c>
      <c r="F11" s="32" t="n">
        <f aca="false">Inputs!$G$8*Inputs!$G$15</f>
        <v>237</v>
      </c>
      <c r="G11" s="2"/>
    </row>
    <row r="12" customFormat="false" ht="15" hidden="false" customHeight="false" outlineLevel="0" collapsed="false">
      <c r="A12" s="16" t="s">
        <v>365</v>
      </c>
      <c r="B12" s="16" t="s">
        <v>159</v>
      </c>
      <c r="C12" s="33" t="n">
        <f aca="false">C9*C6/1000</f>
        <v>145.152</v>
      </c>
      <c r="D12" s="33" t="n">
        <f aca="false">D9*D6/1000</f>
        <v>449.82</v>
      </c>
      <c r="E12" s="33" t="n">
        <f aca="false">E9*E6/1000</f>
        <v>677.12</v>
      </c>
      <c r="F12" s="33" t="n">
        <f aca="false">F9*F6/1000</f>
        <v>449.82</v>
      </c>
      <c r="G12" s="2" t="s">
        <v>366</v>
      </c>
    </row>
    <row r="13" customFormat="false" ht="15" hidden="false" customHeight="false" outlineLevel="0" collapsed="false">
      <c r="A13" s="16" t="s">
        <v>367</v>
      </c>
      <c r="B13" s="16" t="s">
        <v>159</v>
      </c>
      <c r="C13" s="33" t="n">
        <f aca="false">C10*C7/1000</f>
        <v>81.795</v>
      </c>
      <c r="D13" s="33" t="n">
        <f aca="false">D10*D7/1000</f>
        <v>297</v>
      </c>
      <c r="E13" s="33" t="n">
        <f aca="false">E10*E7/1000</f>
        <v>561.6</v>
      </c>
      <c r="F13" s="33" t="n">
        <f aca="false">F10*F7/1000</f>
        <v>297</v>
      </c>
      <c r="G13" s="2"/>
    </row>
    <row r="14" customFormat="false" ht="15" hidden="false" customHeight="false" outlineLevel="0" collapsed="false">
      <c r="A14" s="16" t="s">
        <v>368</v>
      </c>
      <c r="B14" s="16" t="s">
        <v>159</v>
      </c>
      <c r="C14" s="33" t="n">
        <f aca="false">C11*C8/1000</f>
        <v>26.796</v>
      </c>
      <c r="D14" s="33" t="n">
        <f aca="false">D11*D8/1000</f>
        <v>99.54</v>
      </c>
      <c r="E14" s="33" t="n">
        <f aca="false">E11*E8/1000</f>
        <v>208.64</v>
      </c>
      <c r="F14" s="33" t="n">
        <f aca="false">F11*F8/1000</f>
        <v>99.54</v>
      </c>
      <c r="G14" s="2"/>
    </row>
    <row r="15" customFormat="false" ht="15" hidden="false" customHeight="false" outlineLevel="0" collapsed="false">
      <c r="A15" s="16" t="s">
        <v>369</v>
      </c>
      <c r="B15" s="16" t="s">
        <v>159</v>
      </c>
      <c r="C15" s="6" t="n">
        <f aca="false">Inputs!$D$28*Inputs!$D$29*Inputs!$D$30*1000</f>
        <v>98</v>
      </c>
      <c r="D15" s="6" t="n">
        <f aca="false">Inputs!$E$28*Inputs!$E$29*Inputs!$E$30*1000</f>
        <v>300</v>
      </c>
      <c r="E15" s="6" t="n">
        <f aca="false">Inputs!$F$28*Inputs!$F$29*Inputs!$F$30*1000</f>
        <v>544</v>
      </c>
      <c r="F15" s="6" t="n">
        <f aca="false">Inputs!$G$28*Inputs!$G$29*Inputs!$G$30*1000</f>
        <v>300</v>
      </c>
      <c r="G15" s="2" t="s">
        <v>370</v>
      </c>
    </row>
    <row r="16" customFormat="false" ht="15" hidden="false" customHeight="false" outlineLevel="0" collapsed="false">
      <c r="A16" s="7" t="s">
        <v>371</v>
      </c>
      <c r="B16" s="16" t="s">
        <v>159</v>
      </c>
      <c r="C16" s="34" t="n">
        <f aca="false">SUM(C12:C15)</f>
        <v>351.743</v>
      </c>
      <c r="D16" s="34" t="n">
        <f aca="false">SUM(D12:D15)</f>
        <v>1146.36</v>
      </c>
      <c r="E16" s="34" t="n">
        <f aca="false">SUM(E12:E15)</f>
        <v>1991.36</v>
      </c>
      <c r="F16" s="34" t="n">
        <f aca="false">SUM(F12:F15)</f>
        <v>1146.36</v>
      </c>
      <c r="G16" s="2"/>
    </row>
    <row r="18" customFormat="false" ht="15" hidden="false" customHeight="false" outlineLevel="0" collapsed="false">
      <c r="A18" s="10" t="s">
        <v>460</v>
      </c>
      <c r="B18" s="11"/>
      <c r="C18" s="11"/>
      <c r="D18" s="11"/>
      <c r="E18" s="11"/>
      <c r="F18" s="11"/>
      <c r="G18" s="11"/>
    </row>
    <row r="19" customFormat="false" ht="15" hidden="false" customHeight="false" outlineLevel="0" collapsed="false">
      <c r="A19" s="16" t="s">
        <v>373</v>
      </c>
      <c r="B19" s="16" t="s">
        <v>159</v>
      </c>
      <c r="C19" s="6" t="n">
        <f aca="false">C12*Inputs!$D$21</f>
        <v>52.25472</v>
      </c>
      <c r="D19" s="6" t="n">
        <f aca="false">D12*Inputs!$E$21</f>
        <v>205</v>
      </c>
      <c r="E19" s="6" t="n">
        <f aca="false">E12*Inputs!$F$21</f>
        <v>325.0176</v>
      </c>
      <c r="F19" s="6" t="n">
        <f aca="false">F12*Inputs!$G$21</f>
        <v>205</v>
      </c>
      <c r="G19" s="2" t="s">
        <v>374</v>
      </c>
    </row>
    <row r="20" customFormat="false" ht="15" hidden="false" customHeight="false" outlineLevel="0" collapsed="false">
      <c r="A20" s="16" t="s">
        <v>375</v>
      </c>
      <c r="B20" s="16" t="s">
        <v>159</v>
      </c>
      <c r="C20" s="6" t="n">
        <f aca="false">C13*Inputs!$D$23</f>
        <v>10.63335</v>
      </c>
      <c r="D20" s="6" t="n">
        <f aca="false">D13*Inputs!$E$23</f>
        <v>55</v>
      </c>
      <c r="E20" s="6" t="n">
        <f aca="false">E13*Inputs!$F$23</f>
        <v>134.784</v>
      </c>
      <c r="F20" s="6" t="n">
        <f aca="false">F13*Inputs!$G$23</f>
        <v>55</v>
      </c>
      <c r="G20" s="2"/>
    </row>
    <row r="21" customFormat="false" ht="15" hidden="false" customHeight="false" outlineLevel="0" collapsed="false">
      <c r="A21" s="16" t="s">
        <v>376</v>
      </c>
      <c r="B21" s="16" t="s">
        <v>159</v>
      </c>
      <c r="C21" s="6" t="n">
        <f aca="false">C14*Inputs!$D$25</f>
        <v>1.3398</v>
      </c>
      <c r="D21" s="6" t="n">
        <f aca="false">D14*Inputs!$E$25</f>
        <v>8</v>
      </c>
      <c r="E21" s="6" t="n">
        <f aca="false">E14*Inputs!$F$25</f>
        <v>25.0368</v>
      </c>
      <c r="F21" s="6" t="n">
        <f aca="false">F14*Inputs!$G$25</f>
        <v>8</v>
      </c>
      <c r="G21" s="2"/>
    </row>
    <row r="22" customFormat="false" ht="15" hidden="false" customHeight="false" outlineLevel="0" collapsed="false">
      <c r="A22" s="16" t="s">
        <v>377</v>
      </c>
      <c r="B22" s="16" t="s">
        <v>159</v>
      </c>
      <c r="C22" s="6" t="n">
        <f aca="false">C15*Inputs!$D$31</f>
        <v>29.4</v>
      </c>
      <c r="D22" s="6" t="n">
        <f aca="false">D15*Inputs!$E$31</f>
        <v>131.218004862222</v>
      </c>
      <c r="E22" s="6" t="n">
        <f aca="false">E15*Inputs!$F$31</f>
        <v>244.8</v>
      </c>
      <c r="F22" s="6" t="n">
        <f aca="false">F15*Inputs!$G$31</f>
        <v>131.218004862222</v>
      </c>
      <c r="G22" s="2" t="s">
        <v>378</v>
      </c>
    </row>
    <row r="23" customFormat="false" ht="15" hidden="false" customHeight="false" outlineLevel="0" collapsed="false">
      <c r="A23" s="16" t="s">
        <v>379</v>
      </c>
      <c r="B23" s="16" t="s">
        <v>159</v>
      </c>
      <c r="C23" s="6" t="n">
        <f aca="false">Inputs!$D$41*Inputs!$D$42*Inputs!$D$43*12/1000</f>
        <v>3.744</v>
      </c>
      <c r="D23" s="6" t="n">
        <f aca="false">Inputs!$E$41*Inputs!$E$42*Inputs!$E$43*12/1000</f>
        <v>14.4</v>
      </c>
      <c r="E23" s="6" t="n">
        <f aca="false">Inputs!$F$41*Inputs!$F$42*Inputs!$F$43*12/1000</f>
        <v>30.24</v>
      </c>
      <c r="F23" s="6" t="n">
        <f aca="false">Inputs!$G$41*Inputs!$G$42*Inputs!$G$43*12/1000</f>
        <v>14.4</v>
      </c>
      <c r="G23" s="2" t="s">
        <v>380</v>
      </c>
    </row>
    <row r="24" customFormat="false" ht="15" hidden="false" customHeight="false" outlineLevel="0" collapsed="false">
      <c r="A24" s="16" t="s">
        <v>381</v>
      </c>
      <c r="B24" s="16" t="s">
        <v>159</v>
      </c>
      <c r="C24" s="41" t="n">
        <f aca="false">0</f>
        <v>0</v>
      </c>
      <c r="D24" s="41" t="n">
        <f aca="false">0</f>
        <v>0</v>
      </c>
      <c r="E24" s="41" t="n">
        <f aca="false">0</f>
        <v>0</v>
      </c>
      <c r="F24" s="41" t="n">
        <f aca="false">0</f>
        <v>0</v>
      </c>
      <c r="G24" s="2" t="s">
        <v>461</v>
      </c>
    </row>
    <row r="25" customFormat="false" ht="15" hidden="false" customHeight="false" outlineLevel="0" collapsed="false">
      <c r="A25" s="16" t="s">
        <v>383</v>
      </c>
      <c r="B25" s="16" t="s">
        <v>159</v>
      </c>
      <c r="C25" s="41" t="n">
        <f aca="false">0</f>
        <v>0</v>
      </c>
      <c r="D25" s="41" t="n">
        <f aca="false">0</f>
        <v>0</v>
      </c>
      <c r="E25" s="41" t="n">
        <f aca="false">0</f>
        <v>0</v>
      </c>
      <c r="F25" s="41" t="n">
        <f aca="false">0</f>
        <v>0</v>
      </c>
      <c r="G25" s="2" t="s">
        <v>462</v>
      </c>
    </row>
    <row r="26" customFormat="false" ht="15" hidden="false" customHeight="false" outlineLevel="0" collapsed="false">
      <c r="A26" s="16" t="s">
        <v>172</v>
      </c>
      <c r="B26" s="16" t="s">
        <v>159</v>
      </c>
      <c r="C26" s="6" t="n">
        <f aca="false">Inputs!$D$46</f>
        <v>4</v>
      </c>
      <c r="D26" s="6" t="n">
        <f aca="false">Inputs!$E$46</f>
        <v>12</v>
      </c>
      <c r="E26" s="6" t="n">
        <f aca="false">Inputs!$F$46</f>
        <v>20</v>
      </c>
      <c r="F26" s="6" t="n">
        <f aca="false">Inputs!$G$46</f>
        <v>12</v>
      </c>
      <c r="G26" s="2"/>
    </row>
    <row r="27" customFormat="false" ht="15" hidden="false" customHeight="false" outlineLevel="0" collapsed="false">
      <c r="A27" s="7" t="s">
        <v>385</v>
      </c>
      <c r="B27" s="16" t="s">
        <v>159</v>
      </c>
      <c r="C27" s="35" t="n">
        <f aca="false">SUM(C19:C26)</f>
        <v>101.37187</v>
      </c>
      <c r="D27" s="35" t="n">
        <f aca="false">SUM(D19:D26)</f>
        <v>425.618004862222</v>
      </c>
      <c r="E27" s="35" t="n">
        <f aca="false">SUM(E19:E26)</f>
        <v>779.8784</v>
      </c>
      <c r="F27" s="35" t="n">
        <f aca="false">SUM(F19:F26)</f>
        <v>425.618004862222</v>
      </c>
      <c r="G27" s="2" t="s">
        <v>386</v>
      </c>
    </row>
    <row r="28" customFormat="false" ht="15" hidden="false" customHeight="false" outlineLevel="0" collapsed="false">
      <c r="A28" s="16" t="s">
        <v>387</v>
      </c>
      <c r="B28" s="16" t="s">
        <v>159</v>
      </c>
      <c r="C28" s="33" t="n">
        <f aca="false">SUM(C19:C22)</f>
        <v>93.62787</v>
      </c>
      <c r="D28" s="33" t="n">
        <f aca="false">SUM(D19:D22)</f>
        <v>399.218004862222</v>
      </c>
      <c r="E28" s="33" t="n">
        <f aca="false">SUM(E19:E22)</f>
        <v>729.6384</v>
      </c>
      <c r="F28" s="33" t="n">
        <f aca="false">SUM(F19:F22)</f>
        <v>399.218004862222</v>
      </c>
      <c r="G28" s="2"/>
    </row>
    <row r="29" customFormat="false" ht="15" hidden="false" customHeight="false" outlineLevel="0" collapsed="false">
      <c r="A29" s="16" t="s">
        <v>388</v>
      </c>
      <c r="B29" s="16" t="s">
        <v>159</v>
      </c>
      <c r="C29" s="33" t="n">
        <f aca="false">SUM(C23:C25)</f>
        <v>3.744</v>
      </c>
      <c r="D29" s="33" t="n">
        <f aca="false">SUM(D23:D25)</f>
        <v>14.4</v>
      </c>
      <c r="E29" s="33" t="n">
        <f aca="false">SUM(E23:E25)</f>
        <v>30.24</v>
      </c>
      <c r="F29" s="33" t="n">
        <f aca="false">SUM(F23:F25)</f>
        <v>14.4</v>
      </c>
      <c r="G29" s="2"/>
    </row>
    <row r="30" customFormat="false" ht="15" hidden="false" customHeight="false" outlineLevel="0" collapsed="false">
      <c r="A30" s="16" t="s">
        <v>389</v>
      </c>
      <c r="B30" s="16" t="s">
        <v>88</v>
      </c>
      <c r="C30" s="36" t="n">
        <f aca="false">IF(C27=0,0,C28/C27)</f>
        <v>0.923607998944875</v>
      </c>
      <c r="D30" s="36" t="n">
        <f aca="false">IF(D27=0,0,D28/D27)</f>
        <v>0.937972548862105</v>
      </c>
      <c r="E30" s="36" t="n">
        <f aca="false">IF(E27=0,0,E28/E27)</f>
        <v>0.935579700630252</v>
      </c>
      <c r="F30" s="36" t="n">
        <f aca="false">IF(F27=0,0,F28/F27)</f>
        <v>0.937972548862105</v>
      </c>
      <c r="G30" s="2"/>
    </row>
    <row r="32" customFormat="false" ht="15" hidden="false" customHeight="false" outlineLevel="0" collapsed="false">
      <c r="A32" s="10" t="s">
        <v>390</v>
      </c>
      <c r="B32" s="11"/>
      <c r="C32" s="11"/>
      <c r="D32" s="11"/>
      <c r="E32" s="11"/>
      <c r="F32" s="11"/>
      <c r="G32" s="11"/>
    </row>
    <row r="33" customFormat="false" ht="15" hidden="false" customHeight="false" outlineLevel="0" collapsed="false">
      <c r="A33" s="16" t="s">
        <v>391</v>
      </c>
      <c r="B33" s="16" t="s">
        <v>182</v>
      </c>
      <c r="C33" s="13" t="n">
        <f aca="false">Inputs!$D$54</f>
        <v>15</v>
      </c>
      <c r="D33" s="13" t="n">
        <f aca="false">Inputs!$E$54</f>
        <v>22.5</v>
      </c>
      <c r="E33" s="13" t="n">
        <f aca="false">Inputs!$F$54</f>
        <v>25</v>
      </c>
      <c r="F33" s="13" t="n">
        <f aca="false">Inputs!$G$54</f>
        <v>22.5</v>
      </c>
      <c r="G33" s="2"/>
    </row>
    <row r="34" customFormat="false" ht="15" hidden="false" customHeight="false" outlineLevel="0" collapsed="false">
      <c r="A34" s="16" t="s">
        <v>392</v>
      </c>
      <c r="B34" s="16" t="s">
        <v>88</v>
      </c>
      <c r="C34" s="14" t="n">
        <f aca="false">Inputs!$D$55</f>
        <v>0.48</v>
      </c>
      <c r="D34" s="14" t="n">
        <f aca="false">Inputs!$E$55</f>
        <v>0.541111111111111</v>
      </c>
      <c r="E34" s="14" t="n">
        <f aca="false">Inputs!$F$55</f>
        <v>0.6</v>
      </c>
      <c r="F34" s="14" t="n">
        <f aca="false">Inputs!$G$55</f>
        <v>0.541111111111111</v>
      </c>
      <c r="G34" s="2"/>
    </row>
    <row r="35" customFormat="false" ht="15" hidden="false" customHeight="false" outlineLevel="0" collapsed="false">
      <c r="A35" s="16" t="s">
        <v>393</v>
      </c>
      <c r="B35" s="16" t="s">
        <v>182</v>
      </c>
      <c r="C35" s="37" t="n">
        <f aca="false">C33*C34</f>
        <v>7.2</v>
      </c>
      <c r="D35" s="37" t="n">
        <f aca="false">D33*D34</f>
        <v>12.175</v>
      </c>
      <c r="E35" s="37" t="n">
        <f aca="false">E33*E34</f>
        <v>15</v>
      </c>
      <c r="F35" s="37" t="n">
        <f aca="false">F33*F34</f>
        <v>12.175</v>
      </c>
      <c r="G35" s="2" t="s">
        <v>394</v>
      </c>
    </row>
    <row r="36" customFormat="false" ht="15" hidden="false" customHeight="false" outlineLevel="0" collapsed="false">
      <c r="A36" s="16" t="s">
        <v>395</v>
      </c>
      <c r="B36" s="16" t="s">
        <v>396</v>
      </c>
      <c r="C36" s="5" t="n">
        <f aca="false">Inputs!$D$56</f>
        <v>25</v>
      </c>
      <c r="D36" s="5" t="n">
        <f aca="false">Inputs!$E$56</f>
        <v>34.9583576888889</v>
      </c>
      <c r="E36" s="5" t="n">
        <f aca="false">Inputs!$F$56</f>
        <v>45</v>
      </c>
      <c r="F36" s="5" t="n">
        <f aca="false">Inputs!$G$56</f>
        <v>34.9583576888889</v>
      </c>
      <c r="G36" s="2"/>
    </row>
    <row r="37" customFormat="false" ht="15" hidden="false" customHeight="false" outlineLevel="0" collapsed="false">
      <c r="A37" s="16" t="s">
        <v>397</v>
      </c>
      <c r="B37" s="16" t="s">
        <v>396</v>
      </c>
      <c r="C37" s="38" t="n">
        <f aca="false">C36*C34</f>
        <v>12</v>
      </c>
      <c r="D37" s="38" t="n">
        <f aca="false">D36*D34</f>
        <v>18.9163557716543</v>
      </c>
      <c r="E37" s="38" t="n">
        <f aca="false">E36*E34</f>
        <v>27</v>
      </c>
      <c r="F37" s="38" t="n">
        <f aca="false">F36*F34</f>
        <v>18.9163557716543</v>
      </c>
      <c r="G37" s="2" t="s">
        <v>398</v>
      </c>
    </row>
    <row r="38" customFormat="false" ht="15" hidden="false" customHeight="false" outlineLevel="0" collapsed="false">
      <c r="A38" s="7" t="s">
        <v>399</v>
      </c>
      <c r="B38" s="16" t="s">
        <v>159</v>
      </c>
      <c r="C38" s="35" t="n">
        <f aca="false">C35*C36</f>
        <v>180</v>
      </c>
      <c r="D38" s="35" t="n">
        <f aca="false">D35*D36</f>
        <v>425.618004862222</v>
      </c>
      <c r="E38" s="35" t="n">
        <f aca="false">E35*E36</f>
        <v>675</v>
      </c>
      <c r="F38" s="35" t="n">
        <f aca="false">F35*F36</f>
        <v>425.618004862222</v>
      </c>
      <c r="G38" s="2"/>
    </row>
    <row r="39" customFormat="false" ht="15" hidden="false" customHeight="false" outlineLevel="0" collapsed="false">
      <c r="A39" s="16" t="s">
        <v>400</v>
      </c>
      <c r="B39" s="16" t="s">
        <v>159</v>
      </c>
      <c r="C39" s="38" t="n">
        <f aca="false">C27</f>
        <v>101.37187</v>
      </c>
      <c r="D39" s="38" t="n">
        <f aca="false">D27</f>
        <v>425.618004862222</v>
      </c>
      <c r="E39" s="38" t="n">
        <f aca="false">E27</f>
        <v>779.8784</v>
      </c>
      <c r="F39" s="38" t="n">
        <f aca="false">F27</f>
        <v>425.618004862222</v>
      </c>
      <c r="G39" s="2"/>
    </row>
    <row r="40" customFormat="false" ht="15" hidden="false" customHeight="false" outlineLevel="0" collapsed="false">
      <c r="A40" s="16" t="s">
        <v>401</v>
      </c>
      <c r="B40" s="16" t="s">
        <v>402</v>
      </c>
      <c r="C40" s="39" t="n">
        <f aca="false">IF(C38=0,0,C39/C38)</f>
        <v>0.563177055555556</v>
      </c>
      <c r="D40" s="39" t="n">
        <f aca="false">IF(D38=0,0,D39/D38)</f>
        <v>0.999999999999999</v>
      </c>
      <c r="E40" s="39" t="n">
        <f aca="false">IF(E38=0,0,E39/E38)</f>
        <v>1.15537540740741</v>
      </c>
      <c r="F40" s="39" t="n">
        <f aca="false">IF(F38=0,0,F39/F38)</f>
        <v>0.999999999999999</v>
      </c>
      <c r="G40" s="2" t="s">
        <v>403</v>
      </c>
    </row>
    <row r="41" customFormat="false" ht="15" hidden="false" customHeight="false" outlineLevel="0" collapsed="false">
      <c r="A41" s="16" t="s">
        <v>404</v>
      </c>
      <c r="B41" s="16" t="s">
        <v>396</v>
      </c>
      <c r="C41" s="38" t="n">
        <f aca="false">IF(C35=0,0,C39/C35)</f>
        <v>14.0794263888889</v>
      </c>
      <c r="D41" s="38" t="n">
        <f aca="false">IF(D35=0,0,D39/D35)</f>
        <v>34.9583576888889</v>
      </c>
      <c r="E41" s="38" t="n">
        <f aca="false">IF(E35=0,0,E39/E35)</f>
        <v>51.9918933333333</v>
      </c>
      <c r="F41" s="38" t="n">
        <f aca="false">IF(F35=0,0,F39/F35)</f>
        <v>34.9583576888889</v>
      </c>
      <c r="G41" s="2"/>
    </row>
    <row r="42" customFormat="false" ht="15" hidden="false" customHeight="false" outlineLevel="0" collapsed="false">
      <c r="A42" s="16" t="s">
        <v>405</v>
      </c>
      <c r="B42" s="16" t="s">
        <v>396</v>
      </c>
      <c r="C42" s="5" t="n">
        <f aca="false">Inputs!$D$57</f>
        <v>13.3</v>
      </c>
      <c r="D42" s="5" t="n">
        <f aca="false">Inputs!$E$57</f>
        <v>12</v>
      </c>
      <c r="E42" s="5" t="n">
        <f aca="false">Inputs!$F$57</f>
        <v>10</v>
      </c>
      <c r="F42" s="5" t="n">
        <f aca="false">Inputs!$G$57</f>
        <v>12</v>
      </c>
      <c r="G42" s="2"/>
    </row>
    <row r="43" customFormat="false" ht="15" hidden="false" customHeight="false" outlineLevel="0" collapsed="false">
      <c r="A43" s="16" t="s">
        <v>406</v>
      </c>
      <c r="B43" s="16" t="s">
        <v>159</v>
      </c>
      <c r="C43" s="5" t="n">
        <f aca="false">C35*C42+Inputs!$D$58*C38</f>
        <v>102.96</v>
      </c>
      <c r="D43" s="5" t="n">
        <f aca="false">D35*D42+Inputs!$E$58*D38</f>
        <v>158.868540145867</v>
      </c>
      <c r="E43" s="5" t="n">
        <f aca="false">E35*E42+Inputs!$F$58*E38</f>
        <v>166.875</v>
      </c>
      <c r="F43" s="5" t="n">
        <f aca="false">F35*F42+Inputs!$G$58*F38</f>
        <v>158.868540145867</v>
      </c>
      <c r="G43" s="2" t="s">
        <v>407</v>
      </c>
    </row>
    <row r="44" customFormat="false" ht="15" hidden="false" customHeight="false" outlineLevel="0" collapsed="false">
      <c r="A44" s="16" t="s">
        <v>408</v>
      </c>
      <c r="B44" s="16" t="s">
        <v>88</v>
      </c>
      <c r="C44" s="22" t="n">
        <f aca="false">IF(C38=0,0,1-C43/C38)</f>
        <v>0.428</v>
      </c>
      <c r="D44" s="22" t="n">
        <f aca="false">IF(D38=0,0,1-D43/D38)</f>
        <v>0.626734446543693</v>
      </c>
      <c r="E44" s="22" t="n">
        <f aca="false">IF(E38=0,0,1-E43/E38)</f>
        <v>0.752777777777778</v>
      </c>
      <c r="F44" s="22" t="n">
        <f aca="false">IF(F38=0,0,1-F43/F38)</f>
        <v>0.626734446543693</v>
      </c>
      <c r="G44" s="2" t="s">
        <v>409</v>
      </c>
    </row>
    <row r="45" customFormat="false" ht="15" hidden="false" customHeight="false" outlineLevel="0" collapsed="false">
      <c r="A45" s="16" t="s">
        <v>410</v>
      </c>
      <c r="B45" s="16" t="s">
        <v>411</v>
      </c>
      <c r="C45" s="40" t="n">
        <f aca="false">IF(Inputs!$D$60*Inputs!$D$61=0,0,C36/(Inputs!$D$60*Inputs!$D$61))</f>
        <v>2.60416666666667</v>
      </c>
      <c r="D45" s="40" t="n">
        <f aca="false">IF(Inputs!$E$60*Inputs!$E$61=0,0,D36/(Inputs!$E$60*Inputs!$E$61))</f>
        <v>2.57046747712418</v>
      </c>
      <c r="E45" s="40" t="n">
        <f aca="false">IF(Inputs!$F$60*Inputs!$F$61=0,0,E36/(Inputs!$F$60*Inputs!$F$61))</f>
        <v>1.80288461538462</v>
      </c>
      <c r="F45" s="40" t="n">
        <f aca="false">IF(Inputs!$G$60*Inputs!$G$61=0,0,F36/(Inputs!$G$60*Inputs!$G$61))</f>
        <v>2.57046747712418</v>
      </c>
      <c r="G45" s="2" t="s">
        <v>412</v>
      </c>
    </row>
    <row r="47" customFormat="false" ht="15" hidden="false" customHeight="false" outlineLevel="0" collapsed="false">
      <c r="A47" s="10" t="s">
        <v>413</v>
      </c>
      <c r="B47" s="11"/>
      <c r="C47" s="11"/>
      <c r="D47" s="11"/>
      <c r="E47" s="11"/>
      <c r="F47" s="11"/>
      <c r="G47" s="11"/>
    </row>
    <row r="48" customFormat="false" ht="15" hidden="false" customHeight="false" outlineLevel="0" collapsed="false">
      <c r="A48" s="16" t="s">
        <v>414</v>
      </c>
      <c r="B48" s="16" t="s">
        <v>159</v>
      </c>
      <c r="C48" s="5" t="n">
        <f aca="false">Inputs!$D$68</f>
        <v>85</v>
      </c>
      <c r="D48" s="5" t="n">
        <f aca="false">Inputs!$E$68</f>
        <v>100</v>
      </c>
      <c r="E48" s="5" t="n">
        <f aca="false">Inputs!$F$68</f>
        <v>110</v>
      </c>
      <c r="F48" s="5" t="n">
        <f aca="false">Inputs!$G$68</f>
        <v>100</v>
      </c>
      <c r="G48" s="2"/>
    </row>
    <row r="49" customFormat="false" ht="15" hidden="false" customHeight="false" outlineLevel="0" collapsed="false">
      <c r="A49" s="16" t="s">
        <v>415</v>
      </c>
      <c r="B49" s="16" t="s">
        <v>159</v>
      </c>
      <c r="C49" s="5" t="n">
        <f aca="false">C48*(1+Inputs!$D$73)</f>
        <v>119</v>
      </c>
      <c r="D49" s="5" t="n">
        <f aca="false">D48*(1+Inputs!$E$73)</f>
        <v>194.533333333333</v>
      </c>
      <c r="E49" s="5" t="n">
        <f aca="false">E48*(1+Inputs!$F$73)</f>
        <v>231</v>
      </c>
      <c r="F49" s="5" t="n">
        <f aca="false">F48*(1+Inputs!$G$73)</f>
        <v>194.533333333333</v>
      </c>
      <c r="G49" s="2" t="s">
        <v>416</v>
      </c>
    </row>
    <row r="50" customFormat="false" ht="15" hidden="false" customHeight="false" outlineLevel="0" collapsed="false">
      <c r="A50" s="16" t="s">
        <v>417</v>
      </c>
      <c r="B50" s="16" t="s">
        <v>159</v>
      </c>
      <c r="C50" s="38" t="n">
        <f aca="false">(C48+C49)/2</f>
        <v>102</v>
      </c>
      <c r="D50" s="38" t="n">
        <f aca="false">(D48+D49)/2</f>
        <v>147.266666666666</v>
      </c>
      <c r="E50" s="38" t="n">
        <f aca="false">(E48+E49)/2</f>
        <v>170.5</v>
      </c>
      <c r="F50" s="38" t="n">
        <f aca="false">(F48+F49)/2</f>
        <v>147.266666666666</v>
      </c>
      <c r="G50" s="2" t="s">
        <v>418</v>
      </c>
    </row>
    <row r="51" customFormat="false" ht="15" hidden="false" customHeight="false" outlineLevel="0" collapsed="false">
      <c r="A51" s="16" t="s">
        <v>419</v>
      </c>
      <c r="B51" s="16" t="s">
        <v>159</v>
      </c>
      <c r="C51" s="5" t="n">
        <f aca="false">C49*(1+Inputs!$D$74)</f>
        <v>145.18</v>
      </c>
      <c r="D51" s="5" t="n">
        <f aca="false">D49*(1+Inputs!$E$74)</f>
        <v>294.392</v>
      </c>
      <c r="E51" s="5" t="n">
        <f aca="false">E49*(1+Inputs!$F$74)</f>
        <v>369.6</v>
      </c>
      <c r="F51" s="5" t="n">
        <f aca="false">F49*(1+Inputs!$G$74)</f>
        <v>294.392</v>
      </c>
      <c r="G51" s="2" t="s">
        <v>420</v>
      </c>
    </row>
    <row r="52" customFormat="false" ht="15" hidden="false" customHeight="false" outlineLevel="0" collapsed="false">
      <c r="A52" s="16" t="s">
        <v>421</v>
      </c>
      <c r="B52" s="16" t="s">
        <v>159</v>
      </c>
      <c r="C52" s="38" t="n">
        <f aca="false">(C49+C51)/2</f>
        <v>132.09</v>
      </c>
      <c r="D52" s="38" t="n">
        <f aca="false">(D49+D51)/2</f>
        <v>244.462666666667</v>
      </c>
      <c r="E52" s="38" t="n">
        <f aca="false">(E49+E51)/2</f>
        <v>300.3</v>
      </c>
      <c r="F52" s="38" t="n">
        <f aca="false">(F49+F51)/2</f>
        <v>244.462666666667</v>
      </c>
      <c r="G52" s="2" t="s">
        <v>418</v>
      </c>
    </row>
    <row r="53" customFormat="false" ht="15" hidden="false" customHeight="false" outlineLevel="0" collapsed="false">
      <c r="A53" s="16" t="s">
        <v>422</v>
      </c>
      <c r="B53" s="16" t="s">
        <v>159</v>
      </c>
      <c r="C53" s="5" t="n">
        <f aca="false">C51*(1+Inputs!$D$75)</f>
        <v>162.6016</v>
      </c>
      <c r="D53" s="5" t="n">
        <f aca="false">D51*(1+Inputs!$E$75)</f>
        <v>379.303911111111</v>
      </c>
      <c r="E53" s="5" t="n">
        <f aca="false">E51*(1+Inputs!$F$75)</f>
        <v>498.96</v>
      </c>
      <c r="F53" s="5" t="n">
        <f aca="false">F51*(1+Inputs!$G$75)</f>
        <v>379.303911111111</v>
      </c>
      <c r="G53" s="2" t="s">
        <v>423</v>
      </c>
    </row>
    <row r="54" customFormat="false" ht="15" hidden="false" customHeight="false" outlineLevel="0" collapsed="false">
      <c r="A54" s="16" t="s">
        <v>424</v>
      </c>
      <c r="B54" s="16" t="s">
        <v>159</v>
      </c>
      <c r="C54" s="38" t="n">
        <f aca="false">(C51+C53)/2</f>
        <v>153.8908</v>
      </c>
      <c r="D54" s="38" t="n">
        <f aca="false">(D51+D53)/2</f>
        <v>336.847955555556</v>
      </c>
      <c r="E54" s="38" t="n">
        <f aca="false">(E51+E53)/2</f>
        <v>434.28</v>
      </c>
      <c r="F54" s="38" t="n">
        <f aca="false">(F51+F53)/2</f>
        <v>336.847955555556</v>
      </c>
      <c r="G54" s="2" t="s">
        <v>418</v>
      </c>
    </row>
    <row r="55" customFormat="false" ht="15" hidden="false" customHeight="false" outlineLevel="0" collapsed="false">
      <c r="A55" s="16" t="s">
        <v>425</v>
      </c>
      <c r="B55" s="16" t="s">
        <v>159</v>
      </c>
      <c r="C55" s="5" t="n">
        <f aca="false">C53*(1+Inputs!$D$76)</f>
        <v>172.357696</v>
      </c>
      <c r="D55" s="5" t="n">
        <f aca="false">D53*(1+Inputs!$E$76)</f>
        <v>471.932098613333</v>
      </c>
      <c r="E55" s="5" t="n">
        <f aca="false">E53*(1+Inputs!$F$76)</f>
        <v>638.6688</v>
      </c>
      <c r="F55" s="5" t="n">
        <f aca="false">F53*(1+Inputs!$G$76)</f>
        <v>471.932098613333</v>
      </c>
      <c r="G55" s="2" t="s">
        <v>426</v>
      </c>
    </row>
    <row r="56" customFormat="false" ht="15" hidden="false" customHeight="false" outlineLevel="0" collapsed="false">
      <c r="A56" s="16" t="s">
        <v>427</v>
      </c>
      <c r="B56" s="16" t="s">
        <v>159</v>
      </c>
      <c r="C56" s="38" t="n">
        <f aca="false">(C53+C55)/2</f>
        <v>167.479648</v>
      </c>
      <c r="D56" s="38" t="n">
        <f aca="false">(D53+D55)/2</f>
        <v>425.618004862222</v>
      </c>
      <c r="E56" s="38" t="n">
        <f aca="false">(E53+E55)/2</f>
        <v>568.8144</v>
      </c>
      <c r="F56" s="38" t="n">
        <f aca="false">(F53+F55)/2</f>
        <v>425.618004862222</v>
      </c>
      <c r="G56" s="2" t="s">
        <v>418</v>
      </c>
    </row>
    <row r="57" customFormat="false" ht="15" hidden="false" customHeight="false" outlineLevel="0" collapsed="false">
      <c r="A57" s="16" t="s">
        <v>428</v>
      </c>
      <c r="B57" s="16" t="s">
        <v>402</v>
      </c>
      <c r="C57" s="39" t="n">
        <f aca="false">IF(C56=0,0,C27/C56)</f>
        <v>0.605278738106734</v>
      </c>
      <c r="D57" s="39" t="n">
        <f aca="false">IF(D56=0,0,D27/D56)</f>
        <v>1</v>
      </c>
      <c r="E57" s="39" t="n">
        <f aca="false">IF(E56=0,0,E27/E56)</f>
        <v>1.37105952310631</v>
      </c>
      <c r="F57" s="39" t="n">
        <f aca="false">IF(F56=0,0,F27/F56)</f>
        <v>1</v>
      </c>
      <c r="G57" s="2" t="s">
        <v>403</v>
      </c>
    </row>
    <row r="59" customFormat="false" ht="15" hidden="false" customHeight="false" outlineLevel="0" collapsed="false">
      <c r="A59" s="10" t="s">
        <v>429</v>
      </c>
      <c r="B59" s="11"/>
      <c r="C59" s="11"/>
      <c r="D59" s="11"/>
      <c r="E59" s="11"/>
      <c r="F59" s="11"/>
      <c r="G59" s="11"/>
    </row>
    <row r="60" customFormat="false" ht="15" hidden="false" customHeight="false" outlineLevel="0" collapsed="false">
      <c r="A60" s="7" t="s">
        <v>430</v>
      </c>
      <c r="B60" s="7" t="s">
        <v>431</v>
      </c>
      <c r="C60" s="7" t="s">
        <v>432</v>
      </c>
      <c r="D60" s="7" t="s">
        <v>433</v>
      </c>
      <c r="E60" s="7" t="s">
        <v>434</v>
      </c>
      <c r="F60" s="7" t="s">
        <v>435</v>
      </c>
      <c r="G60" s="7" t="s">
        <v>436</v>
      </c>
    </row>
    <row r="61" customFormat="false" ht="15" hidden="false" customHeight="false" outlineLevel="0" collapsed="false">
      <c r="A61" s="4" t="s">
        <v>373</v>
      </c>
      <c r="B61" s="41" t="n">
        <v>22</v>
      </c>
      <c r="C61" s="42" t="n">
        <f aca="false">IF($B61=0,"n/a",C19/$B61)</f>
        <v>2.37521454545455</v>
      </c>
      <c r="D61" s="42" t="n">
        <f aca="false">IF($B61=0,"n/a",D19/$B61)</f>
        <v>9.31818181818182</v>
      </c>
      <c r="E61" s="42" t="n">
        <f aca="false">IF($B61=0,"n/a",E19/$B61)</f>
        <v>14.7735272727273</v>
      </c>
      <c r="F61" s="42" t="n">
        <f aca="false">IF($B61=0,"n/a",F19/$B61)</f>
        <v>9.31818181818182</v>
      </c>
      <c r="G61" s="43" t="n">
        <f aca="false">IF($B61=0,"n/a",(D19/$B61)^(1/4)-1)</f>
        <v>0.74716046983154</v>
      </c>
    </row>
    <row r="62" customFormat="false" ht="15" hidden="false" customHeight="false" outlineLevel="0" collapsed="false">
      <c r="A62" s="4" t="s">
        <v>375</v>
      </c>
      <c r="B62" s="41" t="n">
        <v>8.5</v>
      </c>
      <c r="C62" s="42" t="n">
        <f aca="false">IF($B62=0,"n/a",C20/$B62)</f>
        <v>1.25098235294118</v>
      </c>
      <c r="D62" s="42" t="n">
        <f aca="false">IF($B62=0,"n/a",D20/$B62)</f>
        <v>6.47058823529412</v>
      </c>
      <c r="E62" s="42" t="n">
        <f aca="false">IF($B62=0,"n/a",E20/$B62)</f>
        <v>15.8569411764706</v>
      </c>
      <c r="F62" s="42" t="n">
        <f aca="false">IF($B62=0,"n/a",F20/$B62)</f>
        <v>6.47058823529412</v>
      </c>
      <c r="G62" s="43" t="n">
        <f aca="false">IF($B62=0,"n/a",(D20/$B62)^(1/4)-1)</f>
        <v>0.594909118208884</v>
      </c>
    </row>
    <row r="63" customFormat="false" ht="15" hidden="false" customHeight="false" outlineLevel="0" collapsed="false">
      <c r="A63" s="4" t="s">
        <v>376</v>
      </c>
      <c r="B63" s="41" t="n">
        <v>0.8</v>
      </c>
      <c r="C63" s="42" t="n">
        <f aca="false">IF($B63=0,"n/a",C21/$B63)</f>
        <v>1.67475</v>
      </c>
      <c r="D63" s="42" t="n">
        <f aca="false">IF($B63=0,"n/a",D21/$B63)</f>
        <v>10</v>
      </c>
      <c r="E63" s="42" t="n">
        <f aca="false">IF($B63=0,"n/a",E21/$B63)</f>
        <v>31.296</v>
      </c>
      <c r="F63" s="42" t="n">
        <f aca="false">IF($B63=0,"n/a",F21/$B63)</f>
        <v>10</v>
      </c>
      <c r="G63" s="43" t="n">
        <f aca="false">IF($B63=0,"n/a",(D21/$B63)^(1/4)-1)</f>
        <v>0.778279410038923</v>
      </c>
    </row>
    <row r="64" customFormat="false" ht="15" hidden="false" customHeight="false" outlineLevel="0" collapsed="false">
      <c r="A64" s="4" t="s">
        <v>377</v>
      </c>
      <c r="B64" s="41" t="n">
        <v>17.5</v>
      </c>
      <c r="C64" s="42" t="n">
        <f aca="false">IF($B64=0,"n/a",C22/$B64)</f>
        <v>1.68</v>
      </c>
      <c r="D64" s="42" t="n">
        <f aca="false">IF($B64=0,"n/a",D22/$B64)</f>
        <v>7.49817170641269</v>
      </c>
      <c r="E64" s="42" t="n">
        <f aca="false">IF($B64=0,"n/a",E22/$B64)</f>
        <v>13.9885714285714</v>
      </c>
      <c r="F64" s="42" t="n">
        <f aca="false">IF($B64=0,"n/a",F22/$B64)</f>
        <v>7.49817170641269</v>
      </c>
      <c r="G64" s="43" t="n">
        <f aca="false">IF($B64=0,"n/a",(D22/$B64)^(1/4)-1)</f>
        <v>0.654774597329622</v>
      </c>
    </row>
    <row r="65" customFormat="false" ht="15" hidden="false" customHeight="false" outlineLevel="0" collapsed="false">
      <c r="A65" s="4" t="s">
        <v>379</v>
      </c>
      <c r="B65" s="41" t="n">
        <v>5.5</v>
      </c>
      <c r="C65" s="42" t="n">
        <f aca="false">IF($B65=0,"n/a",C23/$B65)</f>
        <v>0.680727272727273</v>
      </c>
      <c r="D65" s="42" t="n">
        <f aca="false">IF($B65=0,"n/a",D23/$B65)</f>
        <v>2.61818181818182</v>
      </c>
      <c r="E65" s="42" t="n">
        <f aca="false">IF($B65=0,"n/a",E23/$B65)</f>
        <v>5.49818181818182</v>
      </c>
      <c r="F65" s="42" t="n">
        <f aca="false">IF($B65=0,"n/a",F23/$B65)</f>
        <v>2.61818181818182</v>
      </c>
      <c r="G65" s="43" t="n">
        <f aca="false">IF($B65=0,"n/a",(D23/$B65)^(1/4)-1)</f>
        <v>0.272037605541511</v>
      </c>
    </row>
    <row r="66" customFormat="false" ht="15" hidden="false" customHeight="false" outlineLevel="0" collapsed="false">
      <c r="A66" s="4" t="s">
        <v>381</v>
      </c>
      <c r="B66" s="41" t="n">
        <v>0</v>
      </c>
      <c r="C66" s="42" t="str">
        <f aca="false">IF($B66=0,"n/a",C24/$B66)</f>
        <v>n/a</v>
      </c>
      <c r="D66" s="42" t="str">
        <f aca="false">IF($B66=0,"n/a",D24/$B66)</f>
        <v>n/a</v>
      </c>
      <c r="E66" s="42" t="str">
        <f aca="false">IF($B66=0,"n/a",E24/$B66)</f>
        <v>n/a</v>
      </c>
      <c r="F66" s="42" t="str">
        <f aca="false">IF($B66=0,"n/a",F24/$B66)</f>
        <v>n/a</v>
      </c>
      <c r="G66" s="43" t="str">
        <f aca="false">IF($B66=0,"n/a",(D24/$B66)^(1/4)-1)</f>
        <v>n/a</v>
      </c>
    </row>
    <row r="67" customFormat="false" ht="15" hidden="false" customHeight="false" outlineLevel="0" collapsed="false">
      <c r="A67" s="4" t="s">
        <v>383</v>
      </c>
      <c r="B67" s="41" t="n">
        <v>0</v>
      </c>
      <c r="C67" s="42" t="str">
        <f aca="false">IF($B67=0,"n/a",C25/$B67)</f>
        <v>n/a</v>
      </c>
      <c r="D67" s="42" t="str">
        <f aca="false">IF($B67=0,"n/a",D25/$B67)</f>
        <v>n/a</v>
      </c>
      <c r="E67" s="42" t="str">
        <f aca="false">IF($B67=0,"n/a",E25/$B67)</f>
        <v>n/a</v>
      </c>
      <c r="F67" s="42" t="str">
        <f aca="false">IF($B67=0,"n/a",F25/$B67)</f>
        <v>n/a</v>
      </c>
      <c r="G67" s="43" t="str">
        <f aca="false">IF($B67=0,"n/a",(D25/$B67)^(1/4)-1)</f>
        <v>n/a</v>
      </c>
    </row>
    <row r="68" customFormat="false" ht="15" hidden="false" customHeight="false" outlineLevel="0" collapsed="false">
      <c r="A68" s="4" t="s">
        <v>172</v>
      </c>
      <c r="B68" s="41" t="n">
        <v>2.7</v>
      </c>
      <c r="C68" s="42" t="n">
        <f aca="false">IF($B68=0,"n/a",C26/$B68)</f>
        <v>1.48148148148148</v>
      </c>
      <c r="D68" s="42" t="n">
        <f aca="false">IF($B68=0,"n/a",D26/$B68)</f>
        <v>4.44444444444444</v>
      </c>
      <c r="E68" s="42" t="n">
        <f aca="false">IF($B68=0,"n/a",E26/$B68)</f>
        <v>7.40740740740741</v>
      </c>
      <c r="F68" s="42" t="n">
        <f aca="false">IF($B68=0,"n/a",F26/$B68)</f>
        <v>4.44444444444444</v>
      </c>
      <c r="G68" s="43" t="n">
        <f aca="false">IF($B68=0,"n/a",(D26/$B68)^(1/4)-1)</f>
        <v>0.451959058230954</v>
      </c>
    </row>
    <row r="69" customFormat="false" ht="15" hidden="false" customHeight="false" outlineLevel="0" collapsed="false">
      <c r="A69" s="7" t="s">
        <v>437</v>
      </c>
      <c r="B69" s="44" t="n">
        <f aca="false">SUM(B61:B68)</f>
        <v>57</v>
      </c>
      <c r="C69" s="42" t="n">
        <f aca="false">C27/$B69</f>
        <v>1.77845385964912</v>
      </c>
      <c r="D69" s="42" t="n">
        <f aca="false">D27/$B69</f>
        <v>7.46698254144249</v>
      </c>
      <c r="E69" s="42" t="n">
        <f aca="false">E27/$B69</f>
        <v>13.6820771929825</v>
      </c>
      <c r="F69" s="42" t="n">
        <f aca="false">F27/$B69</f>
        <v>7.46698254144249</v>
      </c>
      <c r="G69" s="43" t="n">
        <f aca="false">(D27/$B69)^(1/4)-1</f>
        <v>0.653051119236866</v>
      </c>
      <c r="H69" s="2" t="s">
        <v>438</v>
      </c>
    </row>
    <row r="71" customFormat="false" ht="15" hidden="false" customHeight="false" outlineLevel="0" collapsed="false">
      <c r="A71" s="10" t="s">
        <v>439</v>
      </c>
      <c r="B71" s="11"/>
      <c r="C71" s="11"/>
      <c r="D71" s="11"/>
      <c r="E71" s="11"/>
      <c r="F71" s="11"/>
      <c r="G71" s="11"/>
    </row>
    <row r="72" customFormat="false" ht="15" hidden="false" customHeight="false" outlineLevel="0" collapsed="false">
      <c r="A72" s="7" t="s">
        <v>440</v>
      </c>
      <c r="B72" s="4" t="s">
        <v>441</v>
      </c>
      <c r="C72" s="45" t="n">
        <v>280</v>
      </c>
      <c r="D72" s="45" t="n">
        <v>394</v>
      </c>
      <c r="G72" s="2" t="s">
        <v>442</v>
      </c>
    </row>
    <row r="73" customFormat="false" ht="15" hidden="false" customHeight="false" outlineLevel="0" collapsed="false">
      <c r="A73" s="4" t="s">
        <v>443</v>
      </c>
      <c r="C73" s="46" t="n">
        <f aca="false">IF($D$27=0,0,C$72/$D$27)</f>
        <v>0.657866906007982</v>
      </c>
      <c r="D73" s="46" t="n">
        <f aca="false">IF($D$27=0,0,D$72/$D$27)</f>
        <v>0.925712717739803</v>
      </c>
      <c r="G73" s="2"/>
    </row>
    <row r="74" customFormat="false" ht="15" hidden="false" customHeight="false" outlineLevel="0" collapsed="false">
      <c r="A74" s="4" t="s">
        <v>444</v>
      </c>
      <c r="C74" s="44" t="n">
        <f aca="false">IF($D$35=0,0,C$72/$D$35)</f>
        <v>22.9979466119097</v>
      </c>
      <c r="D74" s="44" t="n">
        <f aca="false">IF($D$35=0,0,D$72/$D$35)</f>
        <v>32.3613963039014</v>
      </c>
      <c r="G74" s="2" t="s">
        <v>445</v>
      </c>
    </row>
    <row r="75" customFormat="false" ht="15" hidden="false" customHeight="false" outlineLevel="0" collapsed="false">
      <c r="A75" s="4" t="s">
        <v>446</v>
      </c>
      <c r="C75" s="47" t="n">
        <f aca="false">IF($D$36*$D$34=0,0,C$72/($D$36*$D$34))</f>
        <v>14.8020053851796</v>
      </c>
      <c r="D75" s="47" t="n">
        <f aca="false">IF($D$36*$D$34=0,0,D$72/($D$36*$D$34))</f>
        <v>20.8285361491455</v>
      </c>
      <c r="G75" s="2"/>
    </row>
    <row r="76" customFormat="false" ht="15" hidden="false" customHeight="false" outlineLevel="0" collapsed="false">
      <c r="A76" s="4" t="s">
        <v>447</v>
      </c>
      <c r="C76" s="47" t="n">
        <f aca="false">C$72/(Inputs!$E$65*Inputs!$E$64)</f>
        <v>17.7777777777778</v>
      </c>
      <c r="D76" s="47" t="n">
        <f aca="false">D$72/(Inputs!$E$65*Inputs!$E$64)</f>
        <v>25.015873015873</v>
      </c>
      <c r="G76" s="2" t="s">
        <v>448</v>
      </c>
    </row>
    <row r="77" customFormat="false" ht="15" hidden="false" customHeight="false" outlineLevel="0" collapsed="false">
      <c r="A77" s="4" t="s">
        <v>449</v>
      </c>
      <c r="C77" s="46" t="n">
        <f aca="false">(C$72-($D$27-$D$28))/$D$28</f>
        <v>0.635241890173572</v>
      </c>
      <c r="D77" s="46" t="n">
        <f aca="false">(D$72-($D$27-$D$28))/$D$28</f>
        <v>0.920800153106486</v>
      </c>
      <c r="G77" s="2" t="s">
        <v>450</v>
      </c>
    </row>
    <row r="78" customFormat="false" ht="15" hidden="false" customHeight="false" outlineLevel="0" collapsed="false">
      <c r="A78" s="4" t="s">
        <v>451</v>
      </c>
      <c r="C78" s="43" t="n">
        <f aca="false">Inputs!$E$17*(1+(C77-1)*$D$28/$D$19)</f>
        <v>0.0486642691860815</v>
      </c>
      <c r="D78" s="43" t="n">
        <f aca="false">Inputs!$E$17*(1+(D77-1)*$D$28/$D$19)</f>
        <v>0.142088659429984</v>
      </c>
      <c r="G78" s="2" t="s">
        <v>452</v>
      </c>
    </row>
    <row r="79" customFormat="false" ht="15" hidden="false" customHeight="false" outlineLevel="0" collapsed="false">
      <c r="A79" s="4" t="s">
        <v>453</v>
      </c>
      <c r="C79" s="43" t="n">
        <f aca="false">Inputs!$E$29*(1+(C77-1)*$D$28/$D$22)</f>
        <v>-0.0137176296948729</v>
      </c>
      <c r="D79" s="43" t="n">
        <f aca="false">Inputs!$E$29*(1+(D77-1)*$D$28/$D$22)</f>
        <v>0.0948802720562046</v>
      </c>
      <c r="G79" s="2"/>
    </row>
    <row r="80" customFormat="false" ht="15" hidden="false" customHeight="false" outlineLevel="0" collapsed="false">
      <c r="A80" s="4" t="s">
        <v>454</v>
      </c>
      <c r="C80" s="43" t="n">
        <f aca="false">C$72/$D$16</f>
        <v>0.244251369552322</v>
      </c>
      <c r="D80" s="43" t="n">
        <f aca="false">D$72/$D$16</f>
        <v>0.343696570012911</v>
      </c>
      <c r="G80" s="2"/>
    </row>
    <row r="81" customFormat="false" ht="15" hidden="false" customHeight="false" outlineLevel="0" collapsed="false">
      <c r="A81" s="4" t="s">
        <v>455</v>
      </c>
      <c r="B81" s="48" t="n">
        <v>65000</v>
      </c>
      <c r="C81" s="49" t="n">
        <f aca="false">C$72/$B81</f>
        <v>0.00430769230769231</v>
      </c>
      <c r="D81" s="49" t="n">
        <f aca="false">D$72/$B81</f>
        <v>0.00606153846153846</v>
      </c>
      <c r="G81" s="2" t="s">
        <v>456</v>
      </c>
    </row>
    <row r="82" customFormat="false" ht="15" hidden="false" customHeight="false" outlineLevel="0" collapsed="false">
      <c r="A82" s="4" t="s">
        <v>457</v>
      </c>
      <c r="B82" s="48" t="n">
        <v>2400</v>
      </c>
      <c r="C82" s="43" t="n">
        <f aca="false">C$72/$B82</f>
        <v>0.116666666666667</v>
      </c>
      <c r="D82" s="43" t="n">
        <f aca="false">D$72/$B82</f>
        <v>0.164166666666667</v>
      </c>
      <c r="G82" s="2" t="s">
        <v>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6" min="3" style="0" width="12"/>
    <col collapsed="false" customWidth="true" hidden="false" outlineLevel="0" max="7" min="7" style="0" width="55"/>
  </cols>
  <sheetData>
    <row r="1" customFormat="false" ht="17.35" hidden="false" customHeight="false" outlineLevel="0" collapsed="false">
      <c r="A1" s="1" t="s">
        <v>463</v>
      </c>
    </row>
    <row r="2" customFormat="false" ht="15" hidden="false" customHeight="false" outlineLevel="0" collapsed="false">
      <c r="A2" s="2" t="s">
        <v>464</v>
      </c>
    </row>
    <row r="4" customFormat="false" ht="15" hidden="false" customHeight="false" outlineLevel="0" collapsed="false">
      <c r="A4" s="3" t="s">
        <v>20</v>
      </c>
      <c r="B4" s="3" t="s">
        <v>61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354</v>
      </c>
    </row>
    <row r="5" customFormat="false" ht="15" hidden="false" customHeight="false" outlineLevel="0" collapsed="false">
      <c r="A5" s="16" t="s">
        <v>465</v>
      </c>
      <c r="B5" s="4" t="s">
        <v>182</v>
      </c>
      <c r="C5" s="50" t="n">
        <f aca="false">Inputs!$D$63</f>
        <v>25</v>
      </c>
      <c r="D5" s="50" t="n">
        <f aca="false">Inputs!$E$63</f>
        <v>25</v>
      </c>
      <c r="E5" s="50" t="n">
        <f aca="false">Inputs!$F$63</f>
        <v>25</v>
      </c>
      <c r="F5" s="50" t="n">
        <f aca="false">Inputs!$G$63</f>
        <v>25</v>
      </c>
      <c r="G5" s="2"/>
    </row>
    <row r="6" customFormat="false" ht="15" hidden="false" customHeight="false" outlineLevel="0" collapsed="false">
      <c r="A6" s="16" t="s">
        <v>466</v>
      </c>
      <c r="B6" s="4" t="s">
        <v>88</v>
      </c>
      <c r="C6" s="51" t="n">
        <f aca="false">Inputs!$D$64</f>
        <v>0.5</v>
      </c>
      <c r="D6" s="51" t="n">
        <f aca="false">Inputs!$E$64</f>
        <v>0.525</v>
      </c>
      <c r="E6" s="51" t="n">
        <f aca="false">Inputs!$F$64</f>
        <v>0.55</v>
      </c>
      <c r="F6" s="51" t="n">
        <f aca="false">Inputs!$G$64</f>
        <v>0.525</v>
      </c>
      <c r="G6" s="2"/>
    </row>
    <row r="7" customFormat="false" ht="15" hidden="false" customHeight="false" outlineLevel="0" collapsed="false">
      <c r="A7" s="16" t="s">
        <v>467</v>
      </c>
      <c r="B7" s="4" t="s">
        <v>396</v>
      </c>
      <c r="C7" s="6" t="n">
        <f aca="false">Inputs!$D$65</f>
        <v>28</v>
      </c>
      <c r="D7" s="6" t="n">
        <f aca="false">Inputs!$E$65</f>
        <v>30</v>
      </c>
      <c r="E7" s="6" t="n">
        <f aca="false">Inputs!$F$65</f>
        <v>32</v>
      </c>
      <c r="F7" s="6" t="n">
        <f aca="false">Inputs!$G$65</f>
        <v>30</v>
      </c>
      <c r="G7" s="2"/>
    </row>
    <row r="8" customFormat="false" ht="15" hidden="false" customHeight="false" outlineLevel="0" collapsed="false">
      <c r="A8" s="7" t="s">
        <v>468</v>
      </c>
      <c r="B8" s="4" t="s">
        <v>159</v>
      </c>
      <c r="C8" s="34" t="n">
        <f aca="false">C5*C6*C7</f>
        <v>350</v>
      </c>
      <c r="D8" s="34" t="n">
        <f aca="false">D5*D6*D7</f>
        <v>393.75</v>
      </c>
      <c r="E8" s="34" t="n">
        <f aca="false">E5*E6*E7</f>
        <v>440</v>
      </c>
      <c r="F8" s="34" t="n">
        <f aca="false">F5*F6*F7</f>
        <v>393.75</v>
      </c>
      <c r="G8" s="2"/>
    </row>
    <row r="9" customFormat="false" ht="15" hidden="false" customHeight="false" outlineLevel="0" collapsed="false">
      <c r="A9" s="16" t="s">
        <v>469</v>
      </c>
      <c r="B9" s="4" t="s">
        <v>396</v>
      </c>
      <c r="C9" s="33" t="n">
        <f aca="false">C6*C7</f>
        <v>14</v>
      </c>
      <c r="D9" s="33" t="n">
        <f aca="false">D6*D7</f>
        <v>15.75</v>
      </c>
      <c r="E9" s="33" t="n">
        <f aca="false">E6*E7</f>
        <v>17.6</v>
      </c>
      <c r="F9" s="33" t="n">
        <f aca="false">F6*F7</f>
        <v>15.75</v>
      </c>
      <c r="G9" s="2" t="s">
        <v>470</v>
      </c>
    </row>
    <row r="11" customFormat="false" ht="15" hidden="false" customHeight="false" outlineLevel="0" collapsed="false">
      <c r="A11" s="16" t="s">
        <v>471</v>
      </c>
      <c r="B11" s="4" t="s">
        <v>182</v>
      </c>
      <c r="C11" s="13" t="n">
        <f aca="false">Inputs!$D$82</f>
        <v>20.2379725666731</v>
      </c>
      <c r="D11" s="13" t="n">
        <f aca="false">Inputs!$E$82</f>
        <v>20.2379725666731</v>
      </c>
      <c r="E11" s="13" t="n">
        <f aca="false">Inputs!$F$82</f>
        <v>20.2379725666731</v>
      </c>
      <c r="F11" s="13" t="n">
        <f aca="false">Inputs!$G$82</f>
        <v>20.2379725666731</v>
      </c>
      <c r="G11" s="2"/>
    </row>
    <row r="12" customFormat="false" ht="15" hidden="false" customHeight="false" outlineLevel="0" collapsed="false">
      <c r="A12" s="16" t="s">
        <v>472</v>
      </c>
      <c r="B12" s="4" t="s">
        <v>88</v>
      </c>
      <c r="C12" s="14" t="n">
        <f aca="false">Inputs!$D$85</f>
        <v>0.540909090909088</v>
      </c>
      <c r="D12" s="14" t="n">
        <f aca="false">Inputs!$E$85</f>
        <v>0.540909090909088</v>
      </c>
      <c r="E12" s="14" t="n">
        <f aca="false">Inputs!$F$85</f>
        <v>0.540909090909088</v>
      </c>
      <c r="F12" s="14" t="n">
        <f aca="false">Inputs!$G$85</f>
        <v>0.540909090909088</v>
      </c>
      <c r="G12" s="2"/>
    </row>
    <row r="13" customFormat="false" ht="15" hidden="false" customHeight="false" outlineLevel="0" collapsed="false">
      <c r="A13" s="16" t="s">
        <v>473</v>
      </c>
      <c r="B13" s="4" t="s">
        <v>396</v>
      </c>
      <c r="C13" s="5" t="n">
        <f aca="false">Inputs!$D$87</f>
        <v>30.8853183090816</v>
      </c>
      <c r="D13" s="5" t="n">
        <f aca="false">Inputs!$E$87</f>
        <v>30.8853183090816</v>
      </c>
      <c r="E13" s="5" t="n">
        <f aca="false">Inputs!$F$87</f>
        <v>30.8853183090816</v>
      </c>
      <c r="F13" s="5" t="n">
        <f aca="false">Inputs!$G$87</f>
        <v>30.8853183090816</v>
      </c>
      <c r="G13" s="2"/>
    </row>
    <row r="14" customFormat="false" ht="15" hidden="false" customHeight="false" outlineLevel="0" collapsed="false">
      <c r="A14" s="16" t="s">
        <v>474</v>
      </c>
      <c r="B14" s="4" t="s">
        <v>159</v>
      </c>
      <c r="C14" s="5" t="n">
        <f aca="false">Inputs!$D$78</f>
        <v>338.098594243668</v>
      </c>
      <c r="D14" s="5" t="n">
        <f aca="false">Inputs!$E$78</f>
        <v>338.098594243668</v>
      </c>
      <c r="E14" s="5" t="n">
        <f aca="false">Inputs!$F$78</f>
        <v>338.098594243668</v>
      </c>
      <c r="F14" s="5" t="n">
        <f aca="false">Inputs!$G$78</f>
        <v>338.098594243668</v>
      </c>
      <c r="G14" s="2"/>
    </row>
    <row r="15" customFormat="false" ht="15" hidden="false" customHeight="false" outlineLevel="0" collapsed="false">
      <c r="A15" s="16" t="s">
        <v>17</v>
      </c>
      <c r="B15" s="4" t="s">
        <v>402</v>
      </c>
      <c r="C15" s="52" t="n">
        <f aca="false">IF(C13=0,0,C7/C13)</f>
        <v>0.906579615589288</v>
      </c>
      <c r="D15" s="52" t="n">
        <f aca="false">IF(D13=0,0,D7/D13)</f>
        <v>0.971335302417094</v>
      </c>
      <c r="E15" s="52" t="n">
        <f aca="false">IF(E13=0,0,E7/E13)</f>
        <v>1.0360909892449</v>
      </c>
      <c r="F15" s="52" t="n">
        <f aca="false">IF(F13=0,0,F7/F13)</f>
        <v>0.971335302417094</v>
      </c>
      <c r="G15" s="2"/>
    </row>
    <row r="16" customFormat="false" ht="15" hidden="false" customHeight="false" outlineLevel="0" collapsed="false">
      <c r="A16" s="16" t="s">
        <v>475</v>
      </c>
      <c r="B16" s="4" t="s">
        <v>402</v>
      </c>
      <c r="C16" s="52" t="n">
        <f aca="false">IF(C14=0,0,C8/C14)</f>
        <v>1.035200991542</v>
      </c>
      <c r="D16" s="52" t="n">
        <f aca="false">IF(D14=0,0,D8/D14)</f>
        <v>1.16460111548475</v>
      </c>
      <c r="E16" s="52" t="n">
        <f aca="false">IF(E14=0,0,E8/E14)</f>
        <v>1.30139553222422</v>
      </c>
      <c r="F16" s="52" t="n">
        <f aca="false">IF(F14=0,0,F8/F14)</f>
        <v>1.16460111548475</v>
      </c>
      <c r="G16" s="2"/>
    </row>
    <row r="17" customFormat="false" ht="15" hidden="false" customHeight="false" outlineLevel="0" collapsed="false">
      <c r="A17" s="16" t="s">
        <v>476</v>
      </c>
      <c r="B17" s="4" t="s">
        <v>402</v>
      </c>
      <c r="C17" s="9" t="n">
        <f aca="false">IF(Inputs!$D$93=0,0,C7/Inputs!$D$93)</f>
        <v>1.03385877901392</v>
      </c>
      <c r="D17" s="9" t="n">
        <f aca="false">IF(Inputs!$E$93=0,0,D7/Inputs!$E$93)</f>
        <v>1.10770583465777</v>
      </c>
      <c r="E17" s="9" t="n">
        <f aca="false">IF(Inputs!$F$93=0,0,E7/Inputs!$F$93)</f>
        <v>1.18155289030162</v>
      </c>
      <c r="F17" s="9" t="n">
        <f aca="false">IF(Inputs!$G$93=0,0,F7/Inputs!$G$93)</f>
        <v>1.10770583465777</v>
      </c>
      <c r="G17" s="2" t="s">
        <v>477</v>
      </c>
    </row>
    <row r="19" customFormat="false" ht="15" hidden="false" customHeight="false" outlineLevel="0" collapsed="false">
      <c r="A19" s="16" t="s">
        <v>478</v>
      </c>
      <c r="B19" s="4" t="s">
        <v>182</v>
      </c>
      <c r="C19" s="13" t="n">
        <f aca="false">Inputs!$D$98</f>
        <v>22.5</v>
      </c>
      <c r="D19" s="13" t="n">
        <f aca="false">Inputs!$E$98</f>
        <v>22.5</v>
      </c>
      <c r="E19" s="13" t="n">
        <f aca="false">Inputs!$F$98</f>
        <v>22.5</v>
      </c>
      <c r="F19" s="13" t="n">
        <f aca="false">Inputs!$G$98</f>
        <v>22.5</v>
      </c>
      <c r="G19" s="2"/>
    </row>
    <row r="20" customFormat="false" ht="15" hidden="false" customHeight="false" outlineLevel="0" collapsed="false">
      <c r="A20" s="16" t="s">
        <v>479</v>
      </c>
      <c r="B20" s="4" t="s">
        <v>88</v>
      </c>
      <c r="C20" s="14" t="n">
        <f aca="false">Inputs!$D$101</f>
        <v>0.541111111111111</v>
      </c>
      <c r="D20" s="14" t="n">
        <f aca="false">Inputs!$E$101</f>
        <v>0.541111111111111</v>
      </c>
      <c r="E20" s="14" t="n">
        <f aca="false">Inputs!$F$101</f>
        <v>0.541111111111111</v>
      </c>
      <c r="F20" s="14" t="n">
        <f aca="false">Inputs!$G$101</f>
        <v>0.541111111111111</v>
      </c>
      <c r="G20" s="2"/>
    </row>
    <row r="21" customFormat="false" ht="15" hidden="false" customHeight="false" outlineLevel="0" collapsed="false">
      <c r="A21" s="16" t="s">
        <v>480</v>
      </c>
      <c r="B21" s="4" t="s">
        <v>396</v>
      </c>
      <c r="C21" s="5" t="n">
        <f aca="false">Inputs!$D$103</f>
        <v>34.9583576888889</v>
      </c>
      <c r="D21" s="5" t="n">
        <f aca="false">Inputs!$E$103</f>
        <v>34.9583576888889</v>
      </c>
      <c r="E21" s="5" t="n">
        <f aca="false">Inputs!$F$103</f>
        <v>34.9583576888889</v>
      </c>
      <c r="F21" s="5" t="n">
        <f aca="false">Inputs!$G$103</f>
        <v>34.9583576888889</v>
      </c>
      <c r="G21" s="2"/>
    </row>
    <row r="22" customFormat="false" ht="15" hidden="false" customHeight="false" outlineLevel="0" collapsed="false">
      <c r="A22" s="16" t="s">
        <v>481</v>
      </c>
      <c r="B22" s="4" t="s">
        <v>159</v>
      </c>
      <c r="C22" s="5" t="n">
        <f aca="false">Inputs!$D$94</f>
        <v>425.618004862222</v>
      </c>
      <c r="D22" s="5" t="n">
        <f aca="false">Inputs!$E$94</f>
        <v>425.618004862222</v>
      </c>
      <c r="E22" s="5" t="n">
        <f aca="false">Inputs!$F$94</f>
        <v>425.618004862222</v>
      </c>
      <c r="F22" s="5" t="n">
        <f aca="false">Inputs!$G$94</f>
        <v>425.618004862222</v>
      </c>
      <c r="G22" s="2"/>
    </row>
    <row r="23" customFormat="false" ht="15" hidden="false" customHeight="false" outlineLevel="0" collapsed="false">
      <c r="A23" s="16" t="s">
        <v>18</v>
      </c>
      <c r="B23" s="4" t="s">
        <v>402</v>
      </c>
      <c r="C23" s="52" t="n">
        <f aca="false">IF(C21=0,0,C7/C21)</f>
        <v>0.800952958064717</v>
      </c>
      <c r="D23" s="52" t="n">
        <f aca="false">IF(D21=0,0,D7/D21)</f>
        <v>0.858163883640768</v>
      </c>
      <c r="E23" s="52" t="n">
        <f aca="false">IF(E21=0,0,E7/E21)</f>
        <v>0.915374809216819</v>
      </c>
      <c r="F23" s="52" t="n">
        <f aca="false">IF(F21=0,0,F7/F21)</f>
        <v>0.858163883640768</v>
      </c>
      <c r="G23" s="2"/>
    </row>
    <row r="24" customFormat="false" ht="15" hidden="false" customHeight="false" outlineLevel="0" collapsed="false">
      <c r="A24" s="16" t="s">
        <v>482</v>
      </c>
      <c r="B24" s="4" t="s">
        <v>402</v>
      </c>
      <c r="C24" s="52" t="n">
        <f aca="false">IF(C22=0,0,C8/C22)</f>
        <v>0.822333632509977</v>
      </c>
      <c r="D24" s="52" t="n">
        <f aca="false">IF(D22=0,0,D8/D22)</f>
        <v>0.925125336573724</v>
      </c>
      <c r="E24" s="52" t="n">
        <f aca="false">IF(E22=0,0,E8/E22)</f>
        <v>1.03379085229826</v>
      </c>
      <c r="F24" s="52" t="n">
        <f aca="false">IF(F22=0,0,F8/F22)</f>
        <v>0.925125336573724</v>
      </c>
      <c r="G24" s="2"/>
    </row>
    <row r="25" customFormat="false" ht="15" hidden="false" customHeight="false" outlineLevel="0" collapsed="false">
      <c r="A25" s="16" t="s">
        <v>483</v>
      </c>
      <c r="B25" s="4" t="s">
        <v>402</v>
      </c>
      <c r="C25" s="9" t="n">
        <f aca="false">IF(Inputs!$D$109=0,0,C7/Inputs!$D$109)</f>
        <v>0.697052631578948</v>
      </c>
      <c r="D25" s="9" t="n">
        <f aca="false">IF(Inputs!$E$109=0,0,D7/Inputs!$E$109)</f>
        <v>0.746842105263158</v>
      </c>
      <c r="E25" s="9" t="n">
        <f aca="false">IF(Inputs!$F$109=0,0,E7/Inputs!$F$109)</f>
        <v>0.796631578947369</v>
      </c>
      <c r="F25" s="9" t="n">
        <f aca="false">IF(Inputs!$G$109=0,0,F7/Inputs!$G$109)</f>
        <v>0.746842105263158</v>
      </c>
      <c r="G25" s="2" t="s">
        <v>477</v>
      </c>
    </row>
    <row r="27" customFormat="false" ht="15" hidden="false" customHeight="false" outlineLevel="0" collapsed="false">
      <c r="A27" s="16" t="s">
        <v>484</v>
      </c>
      <c r="B27" s="4" t="s">
        <v>88</v>
      </c>
      <c r="C27" s="53" t="n">
        <f aca="false">IF(C7=0,0,1-8/C7)</f>
        <v>0.714285714285714</v>
      </c>
      <c r="D27" s="53" t="n">
        <f aca="false">IF(D7=0,0,1-8/D7)</f>
        <v>0.733333333333333</v>
      </c>
      <c r="E27" s="53" t="n">
        <f aca="false">IF(E7=0,0,1-8/E7)</f>
        <v>0.75</v>
      </c>
      <c r="F27" s="53" t="n">
        <f aca="false">IF(F7=0,0,1-8/F7)</f>
        <v>0.733333333333333</v>
      </c>
      <c r="G27" s="2" t="s">
        <v>485</v>
      </c>
    </row>
    <row r="28" customFormat="false" ht="15" hidden="false" customHeight="false" outlineLevel="0" collapsed="false">
      <c r="A28" s="16" t="s">
        <v>486</v>
      </c>
      <c r="B28" s="4" t="s">
        <v>88</v>
      </c>
      <c r="C28" s="53" t="n">
        <f aca="false">IF(C7=0,0,1-12/C7)</f>
        <v>0.571428571428571</v>
      </c>
      <c r="D28" s="53" t="n">
        <f aca="false">IF(D7=0,0,1-12/D7)</f>
        <v>0.6</v>
      </c>
      <c r="E28" s="53" t="n">
        <f aca="false">IF(E7=0,0,1-12/E7)</f>
        <v>0.625</v>
      </c>
      <c r="F28" s="53" t="n">
        <f aca="false">IF(F7=0,0,1-12/F7)</f>
        <v>0.6</v>
      </c>
      <c r="G28" s="2" t="s">
        <v>487</v>
      </c>
    </row>
    <row r="29" customFormat="false" ht="15" hidden="false" customHeight="false" outlineLevel="0" collapsed="false">
      <c r="A29" s="16" t="s">
        <v>488</v>
      </c>
      <c r="B29" s="4" t="s">
        <v>88</v>
      </c>
      <c r="C29" s="53" t="n">
        <f aca="false">IF(C7=0,0,1-13.3/C7)</f>
        <v>0.525</v>
      </c>
      <c r="D29" s="53" t="n">
        <f aca="false">IF(D7=0,0,1-13.3/D7)</f>
        <v>0.556666666666667</v>
      </c>
      <c r="E29" s="53" t="n">
        <f aca="false">IF(E7=0,0,1-13.3/E7)</f>
        <v>0.584375</v>
      </c>
      <c r="F29" s="53" t="n">
        <f aca="false">IF(F7=0,0,1-13.3/F7)</f>
        <v>0.556666666666667</v>
      </c>
      <c r="G29" s="2" t="s">
        <v>489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2"/>
  </cols>
  <sheetData>
    <row r="1" customFormat="false" ht="17.35" hidden="false" customHeight="false" outlineLevel="0" collapsed="false">
      <c r="A1" s="1" t="s">
        <v>490</v>
      </c>
    </row>
    <row r="3" customFormat="false" ht="15" hidden="false" customHeight="false" outlineLevel="0" collapsed="false">
      <c r="A3" s="7" t="s">
        <v>491</v>
      </c>
    </row>
    <row r="4" customFormat="false" ht="15" hidden="false" customHeight="false" outlineLevel="0" collapsed="false">
      <c r="A4" s="2" t="s">
        <v>492</v>
      </c>
      <c r="B4" s="54" t="n">
        <v>22</v>
      </c>
      <c r="C4" s="54" t="n">
        <v>26</v>
      </c>
      <c r="D4" s="54" t="n">
        <v>30</v>
      </c>
      <c r="E4" s="54" t="n">
        <v>31</v>
      </c>
      <c r="F4" s="54" t="n">
        <v>35</v>
      </c>
      <c r="G4" s="54" t="n">
        <v>40</v>
      </c>
    </row>
    <row r="5" customFormat="false" ht="15" hidden="false" customHeight="false" outlineLevel="0" collapsed="false">
      <c r="A5" s="55" t="n">
        <v>15</v>
      </c>
      <c r="B5" s="56" t="n">
        <f aca="false">$A5*Inputs!$E$55*B$4</f>
        <v>178.566666666667</v>
      </c>
      <c r="C5" s="56" t="n">
        <f aca="false">$A5*Inputs!$E$55*C$4</f>
        <v>211.033333333333</v>
      </c>
      <c r="D5" s="56" t="n">
        <f aca="false">$A5*Inputs!$E$55*D$4</f>
        <v>243.5</v>
      </c>
      <c r="E5" s="56" t="n">
        <f aca="false">$A5*Inputs!$E$55*E$4</f>
        <v>251.616666666667</v>
      </c>
      <c r="F5" s="56" t="n">
        <f aca="false">$A5*Inputs!$E$55*F$4</f>
        <v>284.083333333333</v>
      </c>
      <c r="G5" s="56" t="n">
        <f aca="false">$A5*Inputs!$E$55*G$4</f>
        <v>324.666666666667</v>
      </c>
    </row>
    <row r="6" customFormat="false" ht="15" hidden="false" customHeight="false" outlineLevel="0" collapsed="false">
      <c r="A6" s="55" t="n">
        <v>20</v>
      </c>
      <c r="B6" s="56" t="n">
        <f aca="false">$A6*Inputs!$E$55*B$4</f>
        <v>238.088888888889</v>
      </c>
      <c r="C6" s="56" t="n">
        <f aca="false">$A6*Inputs!$E$55*C$4</f>
        <v>281.377777777778</v>
      </c>
      <c r="D6" s="56" t="n">
        <f aca="false">$A6*Inputs!$E$55*D$4</f>
        <v>324.666666666667</v>
      </c>
      <c r="E6" s="56" t="n">
        <f aca="false">$A6*Inputs!$E$55*E$4</f>
        <v>335.488888888889</v>
      </c>
      <c r="F6" s="56" t="n">
        <f aca="false">$A6*Inputs!$E$55*F$4</f>
        <v>378.777777777778</v>
      </c>
      <c r="G6" s="56" t="n">
        <f aca="false">$A6*Inputs!$E$55*G$4</f>
        <v>432.888888888889</v>
      </c>
    </row>
    <row r="7" customFormat="false" ht="15" hidden="false" customHeight="false" outlineLevel="0" collapsed="false">
      <c r="A7" s="55" t="n">
        <v>22.5</v>
      </c>
      <c r="B7" s="56" t="n">
        <f aca="false">$A7*Inputs!$E$55*B$4</f>
        <v>267.85</v>
      </c>
      <c r="C7" s="56" t="n">
        <f aca="false">$A7*Inputs!$E$55*C$4</f>
        <v>316.55</v>
      </c>
      <c r="D7" s="56" t="n">
        <f aca="false">$A7*Inputs!$E$55*D$4</f>
        <v>365.25</v>
      </c>
      <c r="E7" s="56" t="n">
        <f aca="false">$A7*Inputs!$E$55*E$4</f>
        <v>377.425</v>
      </c>
      <c r="F7" s="56" t="n">
        <f aca="false">$A7*Inputs!$E$55*F$4</f>
        <v>426.125</v>
      </c>
      <c r="G7" s="56" t="n">
        <f aca="false">$A7*Inputs!$E$55*G$4</f>
        <v>487</v>
      </c>
    </row>
    <row r="8" customFormat="false" ht="15" hidden="false" customHeight="false" outlineLevel="0" collapsed="false">
      <c r="A8" s="55" t="n">
        <v>25</v>
      </c>
      <c r="B8" s="56" t="n">
        <f aca="false">$A8*Inputs!$E$55*B$4</f>
        <v>297.611111111111</v>
      </c>
      <c r="C8" s="56" t="n">
        <f aca="false">$A8*Inputs!$E$55*C$4</f>
        <v>351.722222222222</v>
      </c>
      <c r="D8" s="56" t="n">
        <f aca="false">$A8*Inputs!$E$55*D$4</f>
        <v>405.833333333333</v>
      </c>
      <c r="E8" s="56" t="n">
        <f aca="false">$A8*Inputs!$E$55*E$4</f>
        <v>419.361111111111</v>
      </c>
      <c r="F8" s="56" t="n">
        <f aca="false">$A8*Inputs!$E$55*F$4</f>
        <v>473.472222222222</v>
      </c>
      <c r="G8" s="56" t="n">
        <f aca="false">$A8*Inputs!$E$55*G$4</f>
        <v>541.111111111111</v>
      </c>
    </row>
    <row r="9" customFormat="false" ht="15" hidden="false" customHeight="false" outlineLevel="0" collapsed="false">
      <c r="A9" s="55" t="n">
        <v>30</v>
      </c>
      <c r="B9" s="56" t="n">
        <f aca="false">$A9*Inputs!$E$55*B$4</f>
        <v>357.133333333333</v>
      </c>
      <c r="C9" s="56" t="n">
        <f aca="false">$A9*Inputs!$E$55*C$4</f>
        <v>422.066666666667</v>
      </c>
      <c r="D9" s="56" t="n">
        <f aca="false">$A9*Inputs!$E$55*D$4</f>
        <v>487</v>
      </c>
      <c r="E9" s="56" t="n">
        <f aca="false">$A9*Inputs!$E$55*E$4</f>
        <v>503.233333333333</v>
      </c>
      <c r="F9" s="56" t="n">
        <f aca="false">$A9*Inputs!$E$55*F$4</f>
        <v>568.166666666667</v>
      </c>
      <c r="G9" s="56" t="n">
        <f aca="false">$A9*Inputs!$E$55*G$4</f>
        <v>649.333333333333</v>
      </c>
    </row>
    <row r="11" customFormat="false" ht="15" hidden="false" customHeight="false" outlineLevel="0" collapsed="false">
      <c r="A11" s="7" t="s">
        <v>493</v>
      </c>
    </row>
    <row r="12" customFormat="false" ht="15" hidden="false" customHeight="false" outlineLevel="0" collapsed="false">
      <c r="A12" s="2" t="s">
        <v>494</v>
      </c>
      <c r="B12" s="54" t="n">
        <v>22</v>
      </c>
      <c r="C12" s="54" t="n">
        <v>26</v>
      </c>
      <c r="D12" s="54" t="n">
        <v>30</v>
      </c>
      <c r="E12" s="54" t="n">
        <v>31</v>
      </c>
      <c r="F12" s="54" t="n">
        <v>35</v>
      </c>
      <c r="G12" s="54" t="n">
        <v>40</v>
      </c>
    </row>
    <row r="13" customFormat="false" ht="15" hidden="false" customHeight="false" outlineLevel="0" collapsed="false">
      <c r="A13" s="57" t="n">
        <v>0.45</v>
      </c>
      <c r="B13" s="56" t="n">
        <f aca="false">22.5*$A13*B$12</f>
        <v>222.75</v>
      </c>
      <c r="C13" s="56" t="n">
        <f aca="false">22.5*$A13*C$12</f>
        <v>263.25</v>
      </c>
      <c r="D13" s="56" t="n">
        <f aca="false">22.5*$A13*D$12</f>
        <v>303.75</v>
      </c>
      <c r="E13" s="56" t="n">
        <f aca="false">22.5*$A13*E$12</f>
        <v>313.875</v>
      </c>
      <c r="F13" s="56" t="n">
        <f aca="false">22.5*$A13*F$12</f>
        <v>354.375</v>
      </c>
      <c r="G13" s="56" t="n">
        <f aca="false">22.5*$A13*G$12</f>
        <v>405</v>
      </c>
    </row>
    <row r="14" customFormat="false" ht="15" hidden="false" customHeight="false" outlineLevel="0" collapsed="false">
      <c r="A14" s="57" t="n">
        <v>0.5</v>
      </c>
      <c r="B14" s="56" t="n">
        <f aca="false">22.5*$A14*B$12</f>
        <v>247.5</v>
      </c>
      <c r="C14" s="56" t="n">
        <f aca="false">22.5*$A14*C$12</f>
        <v>292.5</v>
      </c>
      <c r="D14" s="56" t="n">
        <f aca="false">22.5*$A14*D$12</f>
        <v>337.5</v>
      </c>
      <c r="E14" s="56" t="n">
        <f aca="false">22.5*$A14*E$12</f>
        <v>348.75</v>
      </c>
      <c r="F14" s="56" t="n">
        <f aca="false">22.5*$A14*F$12</f>
        <v>393.75</v>
      </c>
      <c r="G14" s="56" t="n">
        <f aca="false">22.5*$A14*G$12</f>
        <v>450</v>
      </c>
    </row>
    <row r="15" customFormat="false" ht="15" hidden="false" customHeight="false" outlineLevel="0" collapsed="false">
      <c r="A15" s="57" t="n">
        <v>0.54</v>
      </c>
      <c r="B15" s="56" t="n">
        <f aca="false">22.5*$A15*B$12</f>
        <v>267.3</v>
      </c>
      <c r="C15" s="56" t="n">
        <f aca="false">22.5*$A15*C$12</f>
        <v>315.9</v>
      </c>
      <c r="D15" s="56" t="n">
        <f aca="false">22.5*$A15*D$12</f>
        <v>364.5</v>
      </c>
      <c r="E15" s="56" t="n">
        <f aca="false">22.5*$A15*E$12</f>
        <v>376.65</v>
      </c>
      <c r="F15" s="56" t="n">
        <f aca="false">22.5*$A15*F$12</f>
        <v>425.25</v>
      </c>
      <c r="G15" s="56" t="n">
        <f aca="false">22.5*$A15*G$12</f>
        <v>486</v>
      </c>
    </row>
    <row r="16" customFormat="false" ht="15" hidden="false" customHeight="false" outlineLevel="0" collapsed="false">
      <c r="A16" s="57" t="n">
        <v>0.6</v>
      </c>
      <c r="B16" s="56" t="n">
        <f aca="false">22.5*$A16*B$12</f>
        <v>297</v>
      </c>
      <c r="C16" s="56" t="n">
        <f aca="false">22.5*$A16*C$12</f>
        <v>351</v>
      </c>
      <c r="D16" s="56" t="n">
        <f aca="false">22.5*$A16*D$12</f>
        <v>405</v>
      </c>
      <c r="E16" s="56" t="n">
        <f aca="false">22.5*$A16*E$12</f>
        <v>418.5</v>
      </c>
      <c r="F16" s="56" t="n">
        <f aca="false">22.5*$A16*F$12</f>
        <v>472.5</v>
      </c>
      <c r="G16" s="56" t="n">
        <f aca="false">22.5*$A16*G$12</f>
        <v>540</v>
      </c>
    </row>
    <row r="17" customFormat="false" ht="15" hidden="false" customHeight="false" outlineLevel="0" collapsed="false">
      <c r="A17" s="57" t="n">
        <v>0.65</v>
      </c>
      <c r="B17" s="56" t="n">
        <f aca="false">22.5*$A17*B$12</f>
        <v>321.75</v>
      </c>
      <c r="C17" s="56" t="n">
        <f aca="false">22.5*$A17*C$12</f>
        <v>380.25</v>
      </c>
      <c r="D17" s="56" t="n">
        <f aca="false">22.5*$A17*D$12</f>
        <v>438.75</v>
      </c>
      <c r="E17" s="56" t="n">
        <f aca="false">22.5*$A17*E$12</f>
        <v>453.375</v>
      </c>
      <c r="F17" s="56" t="n">
        <f aca="false">22.5*$A17*F$12</f>
        <v>511.875</v>
      </c>
      <c r="G17" s="56" t="n">
        <f aca="false">22.5*$A17*G$12</f>
        <v>585</v>
      </c>
    </row>
    <row r="19" customFormat="false" ht="15" hidden="false" customHeight="false" outlineLevel="0" collapsed="false">
      <c r="A19" s="7" t="s">
        <v>495</v>
      </c>
    </row>
    <row r="20" customFormat="false" ht="15" hidden="false" customHeight="false" outlineLevel="0" collapsed="false">
      <c r="A20" s="2" t="s">
        <v>496</v>
      </c>
      <c r="B20" s="58" t="n">
        <v>1.2</v>
      </c>
      <c r="C20" s="58" t="n">
        <v>1.6</v>
      </c>
      <c r="D20" s="58" t="n">
        <v>2</v>
      </c>
      <c r="E20" s="58" t="n">
        <v>2.3</v>
      </c>
      <c r="F20" s="58" t="n">
        <v>2.6</v>
      </c>
      <c r="G20" s="58" t="n">
        <v>3</v>
      </c>
    </row>
    <row r="21" customFormat="false" ht="15" hidden="false" customHeight="false" outlineLevel="0" collapsed="false">
      <c r="A21" s="59" t="n">
        <v>12</v>
      </c>
      <c r="B21" s="60" t="n">
        <f aca="false">$A21*B$20*Inputs!$E$61</f>
        <v>9.792</v>
      </c>
      <c r="C21" s="60" t="n">
        <f aca="false">$A21*C$20*Inputs!$E$61</f>
        <v>13.056</v>
      </c>
      <c r="D21" s="60" t="n">
        <f aca="false">$A21*D$20*Inputs!$E$61</f>
        <v>16.32</v>
      </c>
      <c r="E21" s="60" t="n">
        <f aca="false">$A21*E$20*Inputs!$E$61</f>
        <v>18.768</v>
      </c>
      <c r="F21" s="60" t="n">
        <f aca="false">$A21*F$20*Inputs!$E$61</f>
        <v>21.216</v>
      </c>
      <c r="G21" s="60" t="n">
        <f aca="false">$A21*G$20*Inputs!$E$61</f>
        <v>24.48</v>
      </c>
    </row>
    <row r="22" customFormat="false" ht="15" hidden="false" customHeight="false" outlineLevel="0" collapsed="false">
      <c r="A22" s="59" t="n">
        <v>16</v>
      </c>
      <c r="B22" s="60" t="n">
        <f aca="false">$A22*B$20*Inputs!$E$61</f>
        <v>13.056</v>
      </c>
      <c r="C22" s="60" t="n">
        <f aca="false">$A22*C$20*Inputs!$E$61</f>
        <v>17.408</v>
      </c>
      <c r="D22" s="60" t="n">
        <f aca="false">$A22*D$20*Inputs!$E$61</f>
        <v>21.76</v>
      </c>
      <c r="E22" s="60" t="n">
        <f aca="false">$A22*E$20*Inputs!$E$61</f>
        <v>25.024</v>
      </c>
      <c r="F22" s="60" t="n">
        <f aca="false">$A22*F$20*Inputs!$E$61</f>
        <v>28.288</v>
      </c>
      <c r="G22" s="60" t="n">
        <f aca="false">$A22*G$20*Inputs!$E$61</f>
        <v>32.64</v>
      </c>
    </row>
    <row r="23" customFormat="false" ht="15" hidden="false" customHeight="false" outlineLevel="0" collapsed="false">
      <c r="A23" s="59" t="n">
        <v>20</v>
      </c>
      <c r="B23" s="60" t="n">
        <f aca="false">$A23*B$20*Inputs!$E$61</f>
        <v>16.32</v>
      </c>
      <c r="C23" s="60" t="n">
        <f aca="false">$A23*C$20*Inputs!$E$61</f>
        <v>21.76</v>
      </c>
      <c r="D23" s="60" t="n">
        <f aca="false">$A23*D$20*Inputs!$E$61</f>
        <v>27.2</v>
      </c>
      <c r="E23" s="60" t="n">
        <f aca="false">$A23*E$20*Inputs!$E$61</f>
        <v>31.28</v>
      </c>
      <c r="F23" s="60" t="n">
        <f aca="false">$A23*F$20*Inputs!$E$61</f>
        <v>35.36</v>
      </c>
      <c r="G23" s="60" t="n">
        <f aca="false">$A23*G$20*Inputs!$E$61</f>
        <v>40.8</v>
      </c>
    </row>
    <row r="24" customFormat="false" ht="15" hidden="false" customHeight="false" outlineLevel="0" collapsed="false">
      <c r="A24" s="59" t="n">
        <v>24</v>
      </c>
      <c r="B24" s="60" t="n">
        <f aca="false">$A24*B$20*Inputs!$E$61</f>
        <v>19.584</v>
      </c>
      <c r="C24" s="60" t="n">
        <f aca="false">$A24*C$20*Inputs!$E$61</f>
        <v>26.112</v>
      </c>
      <c r="D24" s="60" t="n">
        <f aca="false">$A24*D$20*Inputs!$E$61</f>
        <v>32.64</v>
      </c>
      <c r="E24" s="60" t="n">
        <f aca="false">$A24*E$20*Inputs!$E$61</f>
        <v>37.536</v>
      </c>
      <c r="F24" s="60" t="n">
        <f aca="false">$A24*F$20*Inputs!$E$61</f>
        <v>42.432</v>
      </c>
      <c r="G24" s="60" t="n">
        <f aca="false">$A24*G$20*Inputs!$E$61</f>
        <v>48.96</v>
      </c>
    </row>
    <row r="25" customFormat="false" ht="15" hidden="false" customHeight="false" outlineLevel="0" collapsed="false">
      <c r="A25" s="59" t="n">
        <v>28</v>
      </c>
      <c r="B25" s="60" t="n">
        <f aca="false">$A25*B$20*Inputs!$E$61</f>
        <v>22.848</v>
      </c>
      <c r="C25" s="60" t="n">
        <f aca="false">$A25*C$20*Inputs!$E$61</f>
        <v>30.464</v>
      </c>
      <c r="D25" s="60" t="n">
        <f aca="false">$A25*D$20*Inputs!$E$61</f>
        <v>38.08</v>
      </c>
      <c r="E25" s="60" t="n">
        <f aca="false">$A25*E$20*Inputs!$E$61</f>
        <v>43.792</v>
      </c>
      <c r="F25" s="60" t="n">
        <f aca="false">$A25*F$20*Inputs!$E$61</f>
        <v>49.504</v>
      </c>
      <c r="G25" s="60" t="n">
        <f aca="false">$A25*G$20*Inputs!$E$61</f>
        <v>57.12</v>
      </c>
    </row>
    <row r="26" customFormat="false" ht="15" hidden="false" customHeight="false" outlineLevel="0" collapsed="false">
      <c r="A26" s="59" t="n">
        <v>32</v>
      </c>
      <c r="B26" s="60" t="n">
        <f aca="false">$A26*B$20*Inputs!$E$61</f>
        <v>26.112</v>
      </c>
      <c r="C26" s="60" t="n">
        <f aca="false">$A26*C$20*Inputs!$E$61</f>
        <v>34.816</v>
      </c>
      <c r="D26" s="60" t="n">
        <f aca="false">$A26*D$20*Inputs!$E$61</f>
        <v>43.52</v>
      </c>
      <c r="E26" s="60" t="n">
        <f aca="false">$A26*E$20*Inputs!$E$61</f>
        <v>50.048</v>
      </c>
      <c r="F26" s="60" t="n">
        <f aca="false">$A26*F$20*Inputs!$E$61</f>
        <v>56.576</v>
      </c>
      <c r="G26" s="60" t="n">
        <f aca="false">$A26*G$20*Inputs!$E$61</f>
        <v>65.28</v>
      </c>
    </row>
    <row r="28" customFormat="false" ht="15" hidden="false" customHeight="false" outlineLevel="0" collapsed="false">
      <c r="A28" s="7" t="s">
        <v>497</v>
      </c>
    </row>
    <row r="29" customFormat="false" ht="15" hidden="false" customHeight="false" outlineLevel="0" collapsed="false">
      <c r="A29" s="2" t="s">
        <v>498</v>
      </c>
      <c r="B29" s="61" t="n">
        <v>20</v>
      </c>
      <c r="C29" s="61" t="n">
        <v>30</v>
      </c>
      <c r="D29" s="61" t="n">
        <v>40</v>
      </c>
      <c r="E29" s="61" t="n">
        <v>50</v>
      </c>
      <c r="F29" s="61" t="n">
        <v>60</v>
      </c>
    </row>
    <row r="30" customFormat="false" ht="15" hidden="false" customHeight="false" outlineLevel="0" collapsed="false">
      <c r="A30" s="15" t="n">
        <v>1400</v>
      </c>
      <c r="B30" s="56" t="n">
        <f aca="false">$A30*B$29/1000</f>
        <v>28</v>
      </c>
      <c r="C30" s="56" t="n">
        <f aca="false">$A30*C$29/1000</f>
        <v>42</v>
      </c>
      <c r="D30" s="56" t="n">
        <f aca="false">$A30*D$29/1000</f>
        <v>56</v>
      </c>
      <c r="E30" s="56" t="n">
        <f aca="false">$A30*E$29/1000</f>
        <v>70</v>
      </c>
      <c r="F30" s="56" t="n">
        <f aca="false">$A30*F$29/1000</f>
        <v>84</v>
      </c>
    </row>
    <row r="31" customFormat="false" ht="15" hidden="false" customHeight="false" outlineLevel="0" collapsed="false">
      <c r="A31" s="15" t="n">
        <v>1900</v>
      </c>
      <c r="B31" s="56" t="n">
        <f aca="false">$A31*B$29/1000</f>
        <v>38</v>
      </c>
      <c r="C31" s="56" t="n">
        <f aca="false">$A31*C$29/1000</f>
        <v>57</v>
      </c>
      <c r="D31" s="56" t="n">
        <f aca="false">$A31*D$29/1000</f>
        <v>76</v>
      </c>
      <c r="E31" s="56" t="n">
        <f aca="false">$A31*E$29/1000</f>
        <v>95</v>
      </c>
      <c r="F31" s="56" t="n">
        <f aca="false">$A31*F$29/1000</f>
        <v>114</v>
      </c>
    </row>
    <row r="32" customFormat="false" ht="15" hidden="false" customHeight="false" outlineLevel="0" collapsed="false">
      <c r="A32" s="15" t="n">
        <v>2300</v>
      </c>
      <c r="B32" s="56" t="n">
        <f aca="false">$A32*B$29/1000</f>
        <v>46</v>
      </c>
      <c r="C32" s="56" t="n">
        <f aca="false">$A32*C$29/1000</f>
        <v>69</v>
      </c>
      <c r="D32" s="56" t="n">
        <f aca="false">$A32*D$29/1000</f>
        <v>92</v>
      </c>
      <c r="E32" s="56" t="n">
        <f aca="false">$A32*E$29/1000</f>
        <v>115</v>
      </c>
      <c r="F32" s="56" t="n">
        <f aca="false">$A32*F$29/1000</f>
        <v>138</v>
      </c>
    </row>
    <row r="34" customFormat="false" ht="15" hidden="false" customHeight="false" outlineLevel="0" collapsed="false">
      <c r="A34" s="7" t="s">
        <v>499</v>
      </c>
    </row>
    <row r="35" customFormat="false" ht="15" hidden="false" customHeight="false" outlineLevel="0" collapsed="false">
      <c r="A35" s="2" t="s">
        <v>500</v>
      </c>
      <c r="B35" s="62" t="n">
        <v>0.045</v>
      </c>
      <c r="C35" s="62" t="n">
        <v>0.065</v>
      </c>
      <c r="D35" s="62" t="n">
        <v>0.08</v>
      </c>
      <c r="E35" s="62" t="n">
        <v>0.1</v>
      </c>
    </row>
    <row r="36" customFormat="false" ht="15" hidden="false" customHeight="false" outlineLevel="0" collapsed="false">
      <c r="A36" s="15" t="n">
        <v>1500</v>
      </c>
      <c r="B36" s="56" t="n">
        <f aca="false">$A36*B$35*Inputs!$E$36*12/1000</f>
        <v>16.605</v>
      </c>
      <c r="C36" s="56" t="n">
        <f aca="false">$A36*C$35*Inputs!$E$36*12/1000</f>
        <v>23.985</v>
      </c>
      <c r="D36" s="56" t="n">
        <f aca="false">$A36*D$35*Inputs!$E$36*12/1000</f>
        <v>29.52</v>
      </c>
      <c r="E36" s="56" t="n">
        <f aca="false">$A36*E$35*Inputs!$E$36*12/1000</f>
        <v>36.9</v>
      </c>
    </row>
    <row r="37" customFormat="false" ht="15" hidden="false" customHeight="false" outlineLevel="0" collapsed="false">
      <c r="A37" s="15" t="n">
        <v>2000</v>
      </c>
      <c r="B37" s="56" t="n">
        <f aca="false">$A37*B$35*Inputs!$E$36*12/1000</f>
        <v>22.14</v>
      </c>
      <c r="C37" s="56" t="n">
        <f aca="false">$A37*C$35*Inputs!$E$36*12/1000</f>
        <v>31.98</v>
      </c>
      <c r="D37" s="56" t="n">
        <f aca="false">$A37*D$35*Inputs!$E$36*12/1000</f>
        <v>39.36</v>
      </c>
      <c r="E37" s="56" t="n">
        <f aca="false">$A37*E$35*Inputs!$E$36*12/1000</f>
        <v>49.2</v>
      </c>
    </row>
    <row r="38" customFormat="false" ht="15" hidden="false" customHeight="false" outlineLevel="0" collapsed="false">
      <c r="A38" s="15" t="n">
        <v>2500</v>
      </c>
      <c r="B38" s="56" t="n">
        <f aca="false">$A38*B$35*Inputs!$E$36*12/1000</f>
        <v>27.675</v>
      </c>
      <c r="C38" s="56" t="n">
        <f aca="false">$A38*C$35*Inputs!$E$36*12/1000</f>
        <v>39.975</v>
      </c>
      <c r="D38" s="56" t="n">
        <f aca="false">$A38*D$35*Inputs!$E$36*12/1000</f>
        <v>49.2</v>
      </c>
      <c r="E38" s="56" t="n">
        <f aca="false">$A38*E$35*Inputs!$E$36*12/1000</f>
        <v>61.5</v>
      </c>
    </row>
    <row r="40" customFormat="false" ht="15" hidden="false" customHeight="false" outlineLevel="0" collapsed="false">
      <c r="A40" s="7" t="s">
        <v>501</v>
      </c>
    </row>
    <row r="41" customFormat="false" ht="15" hidden="false" customHeight="false" outlineLevel="0" collapsed="false">
      <c r="A41" s="2" t="s">
        <v>502</v>
      </c>
      <c r="B41" s="57" t="n">
        <v>0.35</v>
      </c>
      <c r="C41" s="57" t="n">
        <v>0.4</v>
      </c>
      <c r="D41" s="57" t="n">
        <v>0.45</v>
      </c>
      <c r="E41" s="57" t="n">
        <v>0.5</v>
      </c>
    </row>
    <row r="42" customFormat="false" ht="15" hidden="false" customHeight="false" outlineLevel="0" collapsed="false">
      <c r="A42" s="63" t="n">
        <v>6</v>
      </c>
      <c r="B42" s="56" t="n">
        <f aca="false">Inputs!$E$6*Inputs!$E$13*$A42*B$41</f>
        <v>74.97</v>
      </c>
      <c r="C42" s="56" t="n">
        <f aca="false">Inputs!$E$6*Inputs!$E$13*$A42*C$41</f>
        <v>85.68</v>
      </c>
      <c r="D42" s="56" t="n">
        <f aca="false">Inputs!$E$6*Inputs!$E$13*$A42*D$41</f>
        <v>96.39</v>
      </c>
      <c r="E42" s="56" t="n">
        <f aca="false">Inputs!$E$6*Inputs!$E$13*$A42*E$41</f>
        <v>107.1</v>
      </c>
    </row>
    <row r="43" customFormat="false" ht="15" hidden="false" customHeight="false" outlineLevel="0" collapsed="false">
      <c r="A43" s="63" t="n">
        <v>9</v>
      </c>
      <c r="B43" s="56" t="n">
        <f aca="false">Inputs!$E$6*Inputs!$E$13*$A43*B$41</f>
        <v>112.455</v>
      </c>
      <c r="C43" s="56" t="n">
        <f aca="false">Inputs!$E$6*Inputs!$E$13*$A43*C$41</f>
        <v>128.52</v>
      </c>
      <c r="D43" s="56" t="n">
        <f aca="false">Inputs!$E$6*Inputs!$E$13*$A43*D$41</f>
        <v>144.585</v>
      </c>
      <c r="E43" s="56" t="n">
        <f aca="false">Inputs!$E$6*Inputs!$E$13*$A43*E$41</f>
        <v>160.65</v>
      </c>
    </row>
    <row r="44" customFormat="false" ht="15" hidden="false" customHeight="false" outlineLevel="0" collapsed="false">
      <c r="A44" s="63" t="n">
        <v>12</v>
      </c>
      <c r="B44" s="56" t="n">
        <f aca="false">Inputs!$E$6*Inputs!$E$13*$A44*B$41</f>
        <v>149.94</v>
      </c>
      <c r="C44" s="56" t="n">
        <f aca="false">Inputs!$E$6*Inputs!$E$13*$A44*C$41</f>
        <v>171.36</v>
      </c>
      <c r="D44" s="56" t="n">
        <f aca="false">Inputs!$E$6*Inputs!$E$13*$A44*D$41</f>
        <v>192.78</v>
      </c>
      <c r="E44" s="56" t="n">
        <f aca="false">Inputs!$E$6*Inputs!$E$13*$A44*E$41</f>
        <v>214.2</v>
      </c>
    </row>
    <row r="45" customFormat="false" ht="15" hidden="false" customHeight="false" outlineLevel="0" collapsed="false">
      <c r="A45" s="63" t="n">
        <v>15</v>
      </c>
      <c r="B45" s="56" t="n">
        <f aca="false">Inputs!$E$6*Inputs!$E$13*$A45*B$41</f>
        <v>187.425</v>
      </c>
      <c r="C45" s="56" t="n">
        <f aca="false">Inputs!$E$6*Inputs!$E$13*$A45*C$41</f>
        <v>214.2</v>
      </c>
      <c r="D45" s="56" t="n">
        <f aca="false">Inputs!$E$6*Inputs!$E$13*$A45*D$41</f>
        <v>240.975</v>
      </c>
      <c r="E45" s="56" t="n">
        <f aca="false">Inputs!$E$6*Inputs!$E$13*$A45*E$41</f>
        <v>267.75</v>
      </c>
    </row>
    <row r="46" customFormat="false" ht="15" hidden="false" customHeight="false" outlineLevel="0" collapsed="false">
      <c r="A46" s="63" t="n">
        <v>18</v>
      </c>
      <c r="B46" s="56" t="n">
        <f aca="false">Inputs!$E$6*Inputs!$E$13*$A46*B$41</f>
        <v>224.91</v>
      </c>
      <c r="C46" s="56" t="n">
        <f aca="false">Inputs!$E$6*Inputs!$E$13*$A46*C$41</f>
        <v>257.04</v>
      </c>
      <c r="D46" s="56" t="n">
        <f aca="false">Inputs!$E$6*Inputs!$E$13*$A46*D$41</f>
        <v>289.17</v>
      </c>
      <c r="E46" s="56" t="n">
        <f aca="false">Inputs!$E$6*Inputs!$E$13*$A46*E$41</f>
        <v>321.3</v>
      </c>
    </row>
    <row r="48" customFormat="false" ht="15" hidden="false" customHeight="false" outlineLevel="0" collapsed="false">
      <c r="A48" s="7" t="s">
        <v>503</v>
      </c>
    </row>
    <row r="49" customFormat="false" ht="15" hidden="false" customHeight="false" outlineLevel="0" collapsed="false">
      <c r="A49" s="2" t="s">
        <v>504</v>
      </c>
      <c r="B49" s="64" t="n">
        <v>1800</v>
      </c>
      <c r="C49" s="64" t="n">
        <v>2700</v>
      </c>
      <c r="D49" s="64" t="n">
        <v>3600</v>
      </c>
      <c r="E49" s="64" t="n">
        <v>4500</v>
      </c>
    </row>
    <row r="50" customFormat="false" ht="15" hidden="false" customHeight="false" outlineLevel="0" collapsed="false">
      <c r="A50" s="57" t="n">
        <v>0.4</v>
      </c>
      <c r="B50" s="56" t="n">
        <f aca="false">Inputs!$E$7*$A50*B$49/1000</f>
        <v>158.4</v>
      </c>
      <c r="C50" s="56" t="n">
        <f aca="false">Inputs!$E$7*$A50*C$49/1000</f>
        <v>237.6</v>
      </c>
      <c r="D50" s="56" t="n">
        <f aca="false">Inputs!$E$7*$A50*D$49/1000</f>
        <v>316.8</v>
      </c>
      <c r="E50" s="56" t="n">
        <f aca="false">Inputs!$E$7*$A50*E$49/1000</f>
        <v>396</v>
      </c>
    </row>
    <row r="51" customFormat="false" ht="15" hidden="false" customHeight="false" outlineLevel="0" collapsed="false">
      <c r="A51" s="57" t="n">
        <v>0.5</v>
      </c>
      <c r="B51" s="56" t="n">
        <f aca="false">Inputs!$E$7*$A51*B$49/1000</f>
        <v>198</v>
      </c>
      <c r="C51" s="56" t="n">
        <f aca="false">Inputs!$E$7*$A51*C$49/1000</f>
        <v>297</v>
      </c>
      <c r="D51" s="56" t="n">
        <f aca="false">Inputs!$E$7*$A51*D$49/1000</f>
        <v>396</v>
      </c>
      <c r="E51" s="56" t="n">
        <f aca="false">Inputs!$E$7*$A51*E$49/1000</f>
        <v>495</v>
      </c>
    </row>
    <row r="52" customFormat="false" ht="15" hidden="false" customHeight="false" outlineLevel="0" collapsed="false">
      <c r="A52" s="57" t="n">
        <v>0.6</v>
      </c>
      <c r="B52" s="56" t="n">
        <f aca="false">Inputs!$E$7*$A52*B$49/1000</f>
        <v>237.6</v>
      </c>
      <c r="C52" s="56" t="n">
        <f aca="false">Inputs!$E$7*$A52*C$49/1000</f>
        <v>356.4</v>
      </c>
      <c r="D52" s="56" t="n">
        <f aca="false">Inputs!$E$7*$A52*D$49/1000</f>
        <v>475.2</v>
      </c>
      <c r="E52" s="56" t="n">
        <f aca="false">Inputs!$E$7*$A52*E$49/1000</f>
        <v>594</v>
      </c>
    </row>
    <row r="54" customFormat="false" ht="15" hidden="false" customHeight="false" outlineLevel="0" collapsed="false">
      <c r="A54" s="7" t="s">
        <v>505</v>
      </c>
    </row>
    <row r="55" customFormat="false" ht="15" hidden="false" customHeight="false" outlineLevel="0" collapsed="false">
      <c r="A55" s="2" t="s">
        <v>506</v>
      </c>
      <c r="B55" s="57" t="n">
        <v>0.2</v>
      </c>
      <c r="C55" s="57" t="n">
        <v>0.25</v>
      </c>
      <c r="D55" s="57" t="n">
        <v>0.3</v>
      </c>
      <c r="E55" s="57" t="n">
        <v>0.35</v>
      </c>
    </row>
    <row r="56" customFormat="false" ht="15" hidden="false" customHeight="false" outlineLevel="0" collapsed="false">
      <c r="A56" s="62" t="n">
        <v>0.08</v>
      </c>
      <c r="B56" s="56" t="n">
        <f aca="false">Inputs!$E$28*1000*$A56*B$55</f>
        <v>128</v>
      </c>
      <c r="C56" s="56" t="n">
        <f aca="false">Inputs!$E$28*1000*$A56*C$55</f>
        <v>160</v>
      </c>
      <c r="D56" s="56" t="n">
        <f aca="false">Inputs!$E$28*1000*$A56*D$55</f>
        <v>192</v>
      </c>
      <c r="E56" s="56" t="n">
        <f aca="false">Inputs!$E$28*1000*$A56*E$55</f>
        <v>224</v>
      </c>
    </row>
    <row r="57" customFormat="false" ht="15" hidden="false" customHeight="false" outlineLevel="0" collapsed="false">
      <c r="A57" s="62" t="n">
        <v>0.125</v>
      </c>
      <c r="B57" s="56" t="n">
        <f aca="false">Inputs!$E$28*1000*$A57*B$55</f>
        <v>200</v>
      </c>
      <c r="C57" s="56" t="n">
        <f aca="false">Inputs!$E$28*1000*$A57*C$55</f>
        <v>250</v>
      </c>
      <c r="D57" s="56" t="n">
        <f aca="false">Inputs!$E$28*1000*$A57*D$55</f>
        <v>300</v>
      </c>
      <c r="E57" s="56" t="n">
        <f aca="false">Inputs!$E$28*1000*$A57*E$55</f>
        <v>350</v>
      </c>
    </row>
    <row r="58" customFormat="false" ht="15" hidden="false" customHeight="false" outlineLevel="0" collapsed="false">
      <c r="A58" s="62" t="n">
        <v>0.16</v>
      </c>
      <c r="B58" s="56" t="n">
        <f aca="false">Inputs!$E$28*1000*$A58*B$55</f>
        <v>256</v>
      </c>
      <c r="C58" s="56" t="n">
        <f aca="false">Inputs!$E$28*1000*$A58*C$55</f>
        <v>320</v>
      </c>
      <c r="D58" s="56" t="n">
        <f aca="false">Inputs!$E$28*1000*$A58*D$55</f>
        <v>384</v>
      </c>
      <c r="E58" s="56" t="n">
        <f aca="false">Inputs!$E$28*1000*$A58*E$55</f>
        <v>448</v>
      </c>
    </row>
    <row r="59" customFormat="false" ht="15" hidden="false" customHeight="false" outlineLevel="0" collapsed="false">
      <c r="A59" s="62" t="n">
        <v>0.2</v>
      </c>
      <c r="B59" s="56" t="n">
        <f aca="false">Inputs!$E$28*1000*$A59*B$55</f>
        <v>320</v>
      </c>
      <c r="C59" s="56" t="n">
        <f aca="false">Inputs!$E$28*1000*$A59*C$55</f>
        <v>400</v>
      </c>
      <c r="D59" s="56" t="n">
        <f aca="false">Inputs!$E$28*1000*$A59*D$55</f>
        <v>480</v>
      </c>
      <c r="E59" s="56" t="n">
        <f aca="false">Inputs!$E$28*1000*$A59*E$55</f>
        <v>560</v>
      </c>
    </row>
    <row r="61" customFormat="false" ht="15" hidden="false" customHeight="false" outlineLevel="0" collapsed="false">
      <c r="A61" s="7" t="s">
        <v>507</v>
      </c>
    </row>
    <row r="62" customFormat="false" ht="15" hidden="false" customHeight="false" outlineLevel="0" collapsed="false">
      <c r="A62" s="2" t="s">
        <v>508</v>
      </c>
      <c r="B62" s="65" t="n">
        <v>8</v>
      </c>
      <c r="C62" s="65" t="n">
        <v>10</v>
      </c>
      <c r="D62" s="65" t="n">
        <v>11.7</v>
      </c>
      <c r="E62" s="65" t="n">
        <v>12</v>
      </c>
      <c r="F62" s="65" t="n">
        <v>13.3</v>
      </c>
    </row>
    <row r="63" customFormat="false" ht="15" hidden="false" customHeight="false" outlineLevel="0" collapsed="false">
      <c r="A63" s="65" t="n">
        <v>22</v>
      </c>
      <c r="B63" s="66" t="n">
        <f aca="false">1-B$62/$A63</f>
        <v>0.636363636363636</v>
      </c>
      <c r="C63" s="66" t="n">
        <f aca="false">1-C$62/$A63</f>
        <v>0.545454545454545</v>
      </c>
      <c r="D63" s="66" t="n">
        <f aca="false">1-D$62/$A63</f>
        <v>0.468181818181818</v>
      </c>
      <c r="E63" s="66" t="n">
        <f aca="false">1-E$62/$A63</f>
        <v>0.454545454545455</v>
      </c>
      <c r="F63" s="66" t="n">
        <f aca="false">1-F$62/$A63</f>
        <v>0.395454545454545</v>
      </c>
    </row>
    <row r="64" customFormat="false" ht="15" hidden="false" customHeight="false" outlineLevel="0" collapsed="false">
      <c r="A64" s="65" t="n">
        <v>30.9</v>
      </c>
      <c r="B64" s="66" t="n">
        <f aca="false">1-B$62/$A64</f>
        <v>0.741100323624595</v>
      </c>
      <c r="C64" s="66" t="n">
        <f aca="false">1-C$62/$A64</f>
        <v>0.676375404530744</v>
      </c>
      <c r="D64" s="66" t="n">
        <f aca="false">1-D$62/$A64</f>
        <v>0.621359223300971</v>
      </c>
      <c r="E64" s="66" t="n">
        <f aca="false">1-E$62/$A64</f>
        <v>0.611650485436893</v>
      </c>
      <c r="F64" s="66" t="n">
        <f aca="false">1-F$62/$A64</f>
        <v>0.56957928802589</v>
      </c>
    </row>
    <row r="65" customFormat="false" ht="15" hidden="false" customHeight="false" outlineLevel="0" collapsed="false">
      <c r="A65" s="65" t="n">
        <v>35</v>
      </c>
      <c r="B65" s="66" t="n">
        <f aca="false">1-B$62/$A65</f>
        <v>0.771428571428572</v>
      </c>
      <c r="C65" s="66" t="n">
        <f aca="false">1-C$62/$A65</f>
        <v>0.714285714285714</v>
      </c>
      <c r="D65" s="66" t="n">
        <f aca="false">1-D$62/$A65</f>
        <v>0.665714285714286</v>
      </c>
      <c r="E65" s="66" t="n">
        <f aca="false">1-E$62/$A65</f>
        <v>0.657142857142857</v>
      </c>
      <c r="F65" s="66" t="n">
        <f aca="false">1-F$62/$A65</f>
        <v>0.62</v>
      </c>
    </row>
    <row r="66" customFormat="false" ht="15" hidden="false" customHeight="false" outlineLevel="0" collapsed="false">
      <c r="A66" s="65" t="n">
        <v>40</v>
      </c>
      <c r="B66" s="66" t="n">
        <f aca="false">1-B$62/$A66</f>
        <v>0.8</v>
      </c>
      <c r="C66" s="66" t="n">
        <f aca="false">1-C$62/$A66</f>
        <v>0.75</v>
      </c>
      <c r="D66" s="66" t="n">
        <f aca="false">1-D$62/$A66</f>
        <v>0.7075</v>
      </c>
      <c r="E66" s="66" t="n">
        <f aca="false">1-E$62/$A66</f>
        <v>0.7</v>
      </c>
      <c r="F66" s="66" t="n">
        <f aca="false">1-F$62/$A66</f>
        <v>0.6675</v>
      </c>
    </row>
    <row r="67" customFormat="false" ht="15" hidden="false" customHeight="false" outlineLevel="0" collapsed="false">
      <c r="A67" s="65" t="n">
        <v>50</v>
      </c>
      <c r="B67" s="66" t="n">
        <f aca="false">1-B$62/$A67</f>
        <v>0.84</v>
      </c>
      <c r="C67" s="66" t="n">
        <f aca="false">1-C$62/$A67</f>
        <v>0.8</v>
      </c>
      <c r="D67" s="66" t="n">
        <f aca="false">1-D$62/$A67</f>
        <v>0.766</v>
      </c>
      <c r="E67" s="66" t="n">
        <f aca="false">1-E$62/$A67</f>
        <v>0.76</v>
      </c>
      <c r="F67" s="66" t="n">
        <f aca="false">1-F$62/$A67</f>
        <v>0.734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2"/>
    <col collapsed="false" customWidth="true" hidden="false" outlineLevel="0" max="3" min="3" style="0" width="7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509</v>
      </c>
    </row>
    <row r="3" customFormat="false" ht="15" hidden="false" customHeight="false" outlineLevel="0" collapsed="false">
      <c r="A3" s="3" t="s">
        <v>510</v>
      </c>
      <c r="B3" s="3" t="s">
        <v>511</v>
      </c>
      <c r="C3" s="3" t="s">
        <v>512</v>
      </c>
      <c r="D3" s="3" t="s">
        <v>513</v>
      </c>
    </row>
    <row r="4" customFormat="false" ht="15" hidden="false" customHeight="false" outlineLevel="0" collapsed="false">
      <c r="A4" s="4" t="s">
        <v>514</v>
      </c>
      <c r="B4" s="4" t="s">
        <v>22</v>
      </c>
      <c r="C4" s="4" t="s">
        <v>515</v>
      </c>
    </row>
    <row r="5" customFormat="false" ht="15" hidden="false" customHeight="false" outlineLevel="0" collapsed="false">
      <c r="A5" s="4" t="s">
        <v>516</v>
      </c>
      <c r="B5" s="4" t="s">
        <v>22</v>
      </c>
      <c r="C5" s="4" t="s">
        <v>517</v>
      </c>
    </row>
    <row r="6" customFormat="false" ht="15" hidden="false" customHeight="false" outlineLevel="0" collapsed="false">
      <c r="A6" s="4" t="s">
        <v>518</v>
      </c>
      <c r="B6" s="4" t="s">
        <v>22</v>
      </c>
      <c r="C6" s="4" t="s">
        <v>519</v>
      </c>
    </row>
    <row r="7" customFormat="false" ht="15" hidden="false" customHeight="false" outlineLevel="0" collapsed="false">
      <c r="A7" s="4" t="s">
        <v>520</v>
      </c>
      <c r="B7" s="4" t="s">
        <v>521</v>
      </c>
      <c r="C7" s="4" t="s">
        <v>522</v>
      </c>
      <c r="D7" s="67" t="s">
        <v>523</v>
      </c>
    </row>
    <row r="8" customFormat="false" ht="15" hidden="false" customHeight="false" outlineLevel="0" collapsed="false">
      <c r="A8" s="4" t="s">
        <v>524</v>
      </c>
      <c r="B8" s="4" t="s">
        <v>525</v>
      </c>
      <c r="C8" s="4" t="s">
        <v>526</v>
      </c>
      <c r="D8" s="67" t="s">
        <v>527</v>
      </c>
    </row>
    <row r="9" customFormat="false" ht="15" hidden="false" customHeight="false" outlineLevel="0" collapsed="false">
      <c r="A9" s="4" t="s">
        <v>528</v>
      </c>
      <c r="B9" s="4" t="s">
        <v>529</v>
      </c>
      <c r="C9" s="4" t="s">
        <v>530</v>
      </c>
      <c r="D9" s="67" t="s">
        <v>531</v>
      </c>
    </row>
    <row r="10" customFormat="false" ht="15" hidden="false" customHeight="false" outlineLevel="0" collapsed="false">
      <c r="A10" s="4" t="s">
        <v>532</v>
      </c>
      <c r="B10" s="4" t="s">
        <v>533</v>
      </c>
      <c r="C10" s="4" t="s">
        <v>534</v>
      </c>
      <c r="D10" s="67" t="s">
        <v>535</v>
      </c>
    </row>
    <row r="11" customFormat="false" ht="15" hidden="false" customHeight="false" outlineLevel="0" collapsed="false">
      <c r="A11" s="4" t="s">
        <v>536</v>
      </c>
      <c r="B11" s="4" t="s">
        <v>537</v>
      </c>
      <c r="C11" s="4" t="s">
        <v>538</v>
      </c>
      <c r="D11" s="67" t="s">
        <v>539</v>
      </c>
    </row>
    <row r="12" customFormat="false" ht="15" hidden="false" customHeight="false" outlineLevel="0" collapsed="false">
      <c r="A12" s="4" t="s">
        <v>540</v>
      </c>
      <c r="B12" s="4" t="s">
        <v>541</v>
      </c>
      <c r="C12" s="4" t="s">
        <v>542</v>
      </c>
      <c r="D12" s="67" t="s">
        <v>543</v>
      </c>
    </row>
    <row r="13" customFormat="false" ht="15" hidden="false" customHeight="false" outlineLevel="0" collapsed="false">
      <c r="A13" s="4" t="s">
        <v>544</v>
      </c>
      <c r="B13" s="4" t="s">
        <v>545</v>
      </c>
      <c r="C13" s="4" t="s">
        <v>546</v>
      </c>
      <c r="D13" s="67" t="s">
        <v>547</v>
      </c>
    </row>
    <row r="14" customFormat="false" ht="15" hidden="false" customHeight="false" outlineLevel="0" collapsed="false">
      <c r="A14" s="4" t="s">
        <v>548</v>
      </c>
      <c r="B14" s="4" t="s">
        <v>537</v>
      </c>
      <c r="C14" s="4" t="s">
        <v>549</v>
      </c>
      <c r="D14" s="67" t="s">
        <v>550</v>
      </c>
    </row>
    <row r="15" customFormat="false" ht="15" hidden="false" customHeight="false" outlineLevel="0" collapsed="false">
      <c r="A15" s="4" t="s">
        <v>551</v>
      </c>
      <c r="B15" s="4" t="s">
        <v>552</v>
      </c>
      <c r="C15" s="4" t="s">
        <v>553</v>
      </c>
      <c r="D15" s="67" t="s">
        <v>554</v>
      </c>
    </row>
    <row r="16" customFormat="false" ht="15" hidden="false" customHeight="false" outlineLevel="0" collapsed="false">
      <c r="A16" s="4" t="s">
        <v>555</v>
      </c>
      <c r="B16" s="4" t="s">
        <v>556</v>
      </c>
      <c r="C16" s="4" t="s">
        <v>557</v>
      </c>
      <c r="D16" s="67" t="s">
        <v>558</v>
      </c>
    </row>
    <row r="17" customFormat="false" ht="15" hidden="false" customHeight="false" outlineLevel="0" collapsed="false">
      <c r="A17" s="4" t="s">
        <v>559</v>
      </c>
      <c r="B17" s="4" t="s">
        <v>560</v>
      </c>
      <c r="C17" s="4" t="s">
        <v>561</v>
      </c>
      <c r="D17" s="67" t="s">
        <v>562</v>
      </c>
    </row>
    <row r="18" customFormat="false" ht="15" hidden="false" customHeight="false" outlineLevel="0" collapsed="false">
      <c r="A18" s="4" t="s">
        <v>563</v>
      </c>
      <c r="B18" s="4" t="s">
        <v>564</v>
      </c>
      <c r="C18" s="4" t="s">
        <v>565</v>
      </c>
      <c r="D18" s="67" t="s">
        <v>566</v>
      </c>
    </row>
    <row r="19" customFormat="false" ht="15" hidden="false" customHeight="false" outlineLevel="0" collapsed="false">
      <c r="A19" s="4" t="s">
        <v>567</v>
      </c>
      <c r="B19" s="4" t="s">
        <v>568</v>
      </c>
      <c r="C19" s="4" t="s">
        <v>538</v>
      </c>
      <c r="D19" s="67" t="s">
        <v>569</v>
      </c>
    </row>
    <row r="20" customFormat="false" ht="15" hidden="false" customHeight="false" outlineLevel="0" collapsed="false">
      <c r="A20" s="4" t="s">
        <v>570</v>
      </c>
      <c r="B20" s="4" t="s">
        <v>537</v>
      </c>
      <c r="C20" s="4" t="s">
        <v>571</v>
      </c>
      <c r="D20" s="67" t="s">
        <v>572</v>
      </c>
    </row>
    <row r="21" customFormat="false" ht="15" hidden="false" customHeight="false" outlineLevel="0" collapsed="false">
      <c r="A21" s="4" t="s">
        <v>573</v>
      </c>
      <c r="B21" s="4" t="s">
        <v>574</v>
      </c>
      <c r="C21" s="4" t="s">
        <v>561</v>
      </c>
      <c r="D21" s="67" t="s">
        <v>575</v>
      </c>
    </row>
    <row r="22" customFormat="false" ht="15" hidden="false" customHeight="false" outlineLevel="0" collapsed="false">
      <c r="A22" s="4" t="s">
        <v>576</v>
      </c>
      <c r="B22" s="4" t="s">
        <v>537</v>
      </c>
      <c r="C22" s="4" t="s">
        <v>542</v>
      </c>
      <c r="D22" s="67" t="s">
        <v>577</v>
      </c>
    </row>
    <row r="23" customFormat="false" ht="15" hidden="false" customHeight="false" outlineLevel="0" collapsed="false">
      <c r="A23" s="4" t="s">
        <v>578</v>
      </c>
      <c r="B23" s="4" t="s">
        <v>579</v>
      </c>
      <c r="C23" s="4" t="s">
        <v>580</v>
      </c>
      <c r="D23" s="67" t="s">
        <v>581</v>
      </c>
    </row>
    <row r="24" customFormat="false" ht="15" hidden="false" customHeight="false" outlineLevel="0" collapsed="false">
      <c r="A24" s="4" t="s">
        <v>582</v>
      </c>
      <c r="B24" s="4" t="s">
        <v>583</v>
      </c>
      <c r="C24" s="4" t="s">
        <v>584</v>
      </c>
      <c r="D24" s="67" t="s">
        <v>585</v>
      </c>
    </row>
    <row r="25" customFormat="false" ht="15" hidden="false" customHeight="false" outlineLevel="0" collapsed="false">
      <c r="A25" s="4" t="s">
        <v>586</v>
      </c>
      <c r="B25" s="4" t="s">
        <v>568</v>
      </c>
      <c r="C25" s="4" t="s">
        <v>587</v>
      </c>
      <c r="D25" s="67" t="s">
        <v>588</v>
      </c>
    </row>
    <row r="26" customFormat="false" ht="15" hidden="false" customHeight="false" outlineLevel="0" collapsed="false">
      <c r="A26" s="4" t="s">
        <v>589</v>
      </c>
      <c r="B26" s="4" t="s">
        <v>590</v>
      </c>
      <c r="C26" s="4" t="s">
        <v>591</v>
      </c>
      <c r="D26" s="67" t="s">
        <v>592</v>
      </c>
    </row>
    <row r="27" customFormat="false" ht="15" hidden="false" customHeight="false" outlineLevel="0" collapsed="false">
      <c r="A27" s="4" t="s">
        <v>593</v>
      </c>
      <c r="B27" s="4" t="s">
        <v>537</v>
      </c>
      <c r="C27" s="4" t="s">
        <v>594</v>
      </c>
      <c r="D27" s="67" t="s">
        <v>595</v>
      </c>
    </row>
    <row r="28" customFormat="false" ht="15" hidden="false" customHeight="false" outlineLevel="0" collapsed="false">
      <c r="A28" s="4" t="s">
        <v>596</v>
      </c>
      <c r="B28" s="4" t="s">
        <v>597</v>
      </c>
      <c r="C28" s="4" t="s">
        <v>598</v>
      </c>
      <c r="D28" s="67" t="s">
        <v>599</v>
      </c>
    </row>
    <row r="29" customFormat="false" ht="15" hidden="false" customHeight="false" outlineLevel="0" collapsed="false">
      <c r="A29" s="4" t="s">
        <v>600</v>
      </c>
      <c r="B29" s="4" t="s">
        <v>601</v>
      </c>
      <c r="C29" s="4" t="s">
        <v>602</v>
      </c>
      <c r="D29" s="67" t="s">
        <v>603</v>
      </c>
    </row>
    <row r="30" customFormat="false" ht="15" hidden="false" customHeight="false" outlineLevel="0" collapsed="false">
      <c r="A30" s="4" t="s">
        <v>604</v>
      </c>
      <c r="B30" s="4" t="s">
        <v>605</v>
      </c>
      <c r="C30" s="4" t="s">
        <v>606</v>
      </c>
      <c r="D30" s="67" t="s">
        <v>607</v>
      </c>
    </row>
    <row r="31" customFormat="false" ht="15" hidden="false" customHeight="false" outlineLevel="0" collapsed="false">
      <c r="A31" s="4" t="s">
        <v>608</v>
      </c>
      <c r="B31" s="4" t="s">
        <v>609</v>
      </c>
      <c r="C31" s="4" t="s">
        <v>610</v>
      </c>
      <c r="D31" s="67" t="s">
        <v>611</v>
      </c>
    </row>
    <row r="32" customFormat="false" ht="15" hidden="false" customHeight="false" outlineLevel="0" collapsed="false">
      <c r="A32" s="4" t="s">
        <v>612</v>
      </c>
      <c r="B32" s="4" t="s">
        <v>613</v>
      </c>
      <c r="C32" s="4" t="s">
        <v>614</v>
      </c>
      <c r="D32" s="67" t="s">
        <v>615</v>
      </c>
    </row>
    <row r="33" customFormat="false" ht="15" hidden="false" customHeight="false" outlineLevel="0" collapsed="false">
      <c r="A33" s="4" t="s">
        <v>616</v>
      </c>
      <c r="B33" s="4" t="s">
        <v>537</v>
      </c>
      <c r="C33" s="4" t="s">
        <v>617</v>
      </c>
      <c r="D33" s="67" t="s">
        <v>618</v>
      </c>
    </row>
    <row r="34" customFormat="false" ht="15" hidden="false" customHeight="false" outlineLevel="0" collapsed="false">
      <c r="A34" s="4" t="s">
        <v>619</v>
      </c>
      <c r="B34" s="4" t="s">
        <v>574</v>
      </c>
      <c r="C34" s="4" t="s">
        <v>620</v>
      </c>
      <c r="D34" s="67" t="s">
        <v>621</v>
      </c>
    </row>
    <row r="35" customFormat="false" ht="15" hidden="false" customHeight="false" outlineLevel="0" collapsed="false">
      <c r="A35" s="4" t="s">
        <v>622</v>
      </c>
      <c r="B35" s="4" t="s">
        <v>537</v>
      </c>
      <c r="C35" s="4" t="s">
        <v>623</v>
      </c>
      <c r="D35" s="67" t="s">
        <v>624</v>
      </c>
    </row>
  </sheetData>
  <hyperlinks>
    <hyperlink ref="D7" r:id="rId1" display="https://enterprisedna.co/resources/news/openai-enterprise-revenue-overtakes-consumer-40-billion-arr-2026/"/>
    <hyperlink ref="D8" r:id="rId2" display="https://www.demandsage.com/chatgpt-statistics/"/>
    <hyperlink ref="D9" r:id="rId3" display="https://www.bloomberg.com/news/articles/2026-02-20/openai-forecasts-its-revenue-will-top-280-billion-in-2030"/>
    <hyperlink ref="D10" r:id="rId4" display="https://axios.com/2026/04/09/openai-100-billion-in-ad-revenue"/>
    <hyperlink ref="D11" r:id="rId5" display="https://explainx.ai/blog/openai-advertise-in-chatgpt-ads-launch-july-2026"/>
    <hyperlink ref="D12" r:id="rId6" display="https://openai.com/index/a-business-that-scales-with-the-value-of-intelligence/"/>
    <hyperlink ref="D13" r:id="rId7" display="https://www.mbi-deepdives.com/oai-breakeven/"/>
    <hyperlink ref="D14" r:id="rId8" display="https://www.datacenterdynamics.com/en/news/openai-cuts-projected-compute-spend-to-600bn-by-2030-report/"/>
    <hyperlink ref="D15" r:id="rId9" display="https://www.theregister.com/2025/07/22/openai_oracle_gpus/"/>
    <hyperlink ref="D16" r:id="rId10" display="https://techcrunch.com/2026/08/17/anthropics-annualized-revenue-surges-to-65b/"/>
    <hyperlink ref="D17" r:id="rId11" display="https://www.anthropic.com/news/google-broadcom-partnership-compute"/>
    <hyperlink ref="D18" r:id="rId12" display="https://www.usnews.com/news/top-news/articles/2026-08-14/exclusive-anthropic-ipo-valuation-hinges-on-190-200-billion-2028-revenue-forecast-sources-say"/>
    <hyperlink ref="D19" r:id="rId13" display="https://aibusinessweekly.net/p/claude-code-statistics"/>
    <hyperlink ref="D20" r:id="rId14" display="https://code.claude.com/docs/en/costs"/>
    <hyperlink ref="D21" r:id="rId15" display="https://claude.com/pricing"/>
    <hyperlink ref="D22" r:id="rId16" display="https://openai.com/index/introducing-chatgpt-go/"/>
    <hyperlink ref="D23" r:id="rId17" display="https://investor.atmeta.com/investor-news/press-release-details/2026/Meta-Reports-Fourth-Quarter-and-Full-Year-2025-Results/default.aspx"/>
    <hyperlink ref="D24" r:id="rId18" display="https://s206.q4cdn.com/479360582/files/doc_financials/2025/q4/2025q4-alphabet-earnings-release.pdf"/>
    <hyperlink ref="D25" r:id="rId19" display="https://blog.google/innovation-and-ai/sundar-pichai-io-2026/"/>
    <hyperlink ref="D26" r:id="rId20" display="https://www.directionsonmicrosoft.com/microsoft-claims-15-million-paid-m365-copilot-seats/"/>
    <hyperlink ref="D27" r:id="rId21" display="https://www.secondtalent.com/resources/cursor-vs-github-copilot/"/>
    <hyperlink ref="D28" r:id="rId22" display="https://medium.com/@david.j.sea/anthropic-just-passed-openai-in-revenue-here-is-why-it-matters-e3dd9bb04069"/>
    <hyperlink ref="D29" r:id="rId23" display="https://www.atlantafed.org/research-and-data/publications/policy-hub-macroblog/2026/05/06/how-much-firms-spending-on-ai-and-what-will-happen-to-headcounts"/>
    <hyperlink ref="D30" r:id="rId24" display="https://www.gartner.com/en/newsroom/press-releases/2026-07-27-gartner-forecasts-worldwide-it-spending-to-grow-14-point-2-percent-in-2026-totaling-6-point-37-trillion"/>
    <hyperlink ref="D31" r:id="rId25" display="https://go.forrester.com/blogs/the-global-information-worker-population-swells-to-1-25-billion-in-2018/"/>
    <hyperlink ref="D32" r:id="rId26" display="https://www.bain.com/about/media-center/press-releases/20252/$2-trillion-in-new-revenue-needed-to-fund-ais-scaling-trend---bain--companys-6th-annual-global-technology-report/"/>
    <hyperlink ref="D33" r:id="rId27" display="https://epoch.ai/data-insights/ai-datacenter-cost-breakdown"/>
    <hyperlink ref="D34" r:id="rId28" display="https://benchlm.ai/llm-pricing"/>
    <hyperlink ref="D35" r:id="rId29" display="https://forecastingresearch.substack.com/p/will-the-ai-boom-continue-forecast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2026-09-24T10:29:36Z</dcterms:created>
  <dc:creator>openpyxl</dc:creator>
  <dc:description/>
  <dc:language>en-US</dc:language>
  <cp:lastModifiedBy/>
  <dcterms:modified xsi:type="dcterms:W3CDTF">2026-09-24T10:29:36Z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